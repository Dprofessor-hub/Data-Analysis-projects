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4E1353B3-F661-4EA5-BC95-AA37CA736378}" xr6:coauthVersionLast="47" xr6:coauthVersionMax="47" xr10:uidLastSave="{00000000-0000-0000-0000-000000000000}"/>
  <bookViews>
    <workbookView xWindow="-108" yWindow="-108" windowWidth="23256" windowHeight="14616" activeTab="2" xr2:uid="{29C5CD74-1312-4112-BAFA-292FFEB16E37}"/>
  </bookViews>
  <sheets>
    <sheet name="Students Social Media Addiction" sheetId="1" r:id="rId1"/>
    <sheet name="Report" sheetId="2" r:id="rId2"/>
    <sheet name="Dashboard" sheetId="3" r:id="rId3"/>
  </sheets>
  <definedNames>
    <definedName name="Slicer_Academic_Level">#N/A</definedName>
    <definedName name="Slicer_Age_Group">#N/A</definedName>
    <definedName name="Slicer_Country">#N/A</definedName>
    <definedName name="Slicer_Gender">#N/A</definedName>
    <definedName name="Slicer_Most_Used_Platfor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 l="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G7" i="2"/>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F7" i="2"/>
  <c r="E7" i="2"/>
  <c r="D7" i="2"/>
  <c r="C7" i="2"/>
  <c r="B7"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Q2" i="1"/>
  <c r="T33" i="1" s="1"/>
  <c r="Q3" i="1"/>
  <c r="T256" i="1" s="1"/>
  <c r="Q4" i="1"/>
  <c r="T106" i="1" s="1"/>
  <c r="Q5" i="1"/>
  <c r="T258" i="1" s="1"/>
  <c r="Q6" i="1"/>
  <c r="T149" i="1" s="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O2" i="1"/>
  <c r="S678" i="1" s="1"/>
  <c r="O3" i="1"/>
  <c r="O4" i="1"/>
  <c r="O5" i="1"/>
  <c r="O6" i="1"/>
  <c r="O7" i="1"/>
  <c r="O8" i="1"/>
  <c r="O9" i="1"/>
  <c r="S289" i="1" s="1"/>
  <c r="O10" i="1"/>
  <c r="S295" i="1" s="1"/>
  <c r="O11" i="1"/>
  <c r="S296" i="1" s="1"/>
  <c r="O12" i="1"/>
  <c r="S485" i="1" s="1"/>
  <c r="O13" i="1"/>
  <c r="S487" i="1" s="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T17" i="1" l="1"/>
  <c r="T513" i="1"/>
  <c r="T380" i="1"/>
  <c r="T107" i="1"/>
  <c r="T637" i="1"/>
  <c r="T505" i="1"/>
  <c r="T379" i="1"/>
  <c r="T257" i="1"/>
  <c r="T626" i="1"/>
  <c r="T378" i="1"/>
  <c r="T92" i="1"/>
  <c r="T625" i="1"/>
  <c r="S69" i="1"/>
  <c r="T590" i="1"/>
  <c r="T467" i="1"/>
  <c r="T342" i="1"/>
  <c r="T220" i="1"/>
  <c r="T51" i="1"/>
  <c r="T341" i="1"/>
  <c r="T32" i="1"/>
  <c r="S505" i="1"/>
  <c r="T670" i="1"/>
  <c r="T551" i="1"/>
  <c r="T429" i="1"/>
  <c r="T304" i="1"/>
  <c r="T165" i="1"/>
  <c r="T537" i="1"/>
  <c r="T290" i="1"/>
  <c r="T31" i="1"/>
  <c r="S501" i="1"/>
  <c r="T669" i="1"/>
  <c r="T550" i="1"/>
  <c r="T428" i="1"/>
  <c r="T295" i="1"/>
  <c r="T164" i="1"/>
  <c r="T668" i="1"/>
  <c r="T549" i="1"/>
  <c r="T416" i="1"/>
  <c r="T291" i="1"/>
  <c r="T150" i="1"/>
  <c r="T667" i="1"/>
  <c r="T415" i="1"/>
  <c r="T638" i="1"/>
  <c r="T500" i="1"/>
  <c r="S215" i="1"/>
  <c r="T499" i="1"/>
  <c r="T377" i="1"/>
  <c r="T251" i="1"/>
  <c r="T91" i="1"/>
  <c r="T704" i="1"/>
  <c r="T589" i="1"/>
  <c r="T466" i="1"/>
  <c r="T219" i="1"/>
  <c r="T50" i="1"/>
  <c r="S679" i="1"/>
  <c r="T703" i="1"/>
  <c r="T587" i="1"/>
  <c r="T465" i="1"/>
  <c r="T340" i="1"/>
  <c r="T207" i="1"/>
  <c r="T34" i="1"/>
  <c r="T702" i="1"/>
  <c r="T586" i="1"/>
  <c r="T461" i="1"/>
  <c r="T328" i="1"/>
  <c r="T206" i="1"/>
  <c r="S12" i="1"/>
  <c r="S664" i="1"/>
  <c r="S471" i="1"/>
  <c r="S214" i="1"/>
  <c r="T701" i="1"/>
  <c r="T656" i="1"/>
  <c r="T623" i="1"/>
  <c r="T585" i="1"/>
  <c r="T536" i="1"/>
  <c r="T498" i="1"/>
  <c r="T452" i="1"/>
  <c r="T414" i="1"/>
  <c r="T376" i="1"/>
  <c r="T327" i="1"/>
  <c r="T289" i="1"/>
  <c r="T243" i="1"/>
  <c r="T205" i="1"/>
  <c r="T148" i="1"/>
  <c r="T90" i="1"/>
  <c r="S24" i="1"/>
  <c r="S112" i="1"/>
  <c r="S198" i="1"/>
  <c r="S273" i="1"/>
  <c r="S348" i="1"/>
  <c r="S417" i="1"/>
  <c r="S486" i="1"/>
  <c r="S558" i="1"/>
  <c r="S627" i="1"/>
  <c r="S695" i="1"/>
  <c r="S44" i="1"/>
  <c r="S131" i="1"/>
  <c r="S233" i="1"/>
  <c r="S312" i="1"/>
  <c r="S382" i="1"/>
  <c r="S468" i="1"/>
  <c r="S538" i="1"/>
  <c r="S611" i="1"/>
  <c r="S694" i="1"/>
  <c r="S45" i="1"/>
  <c r="S153" i="1"/>
  <c r="S237" i="1"/>
  <c r="S313" i="1"/>
  <c r="S396" i="1"/>
  <c r="S469" i="1"/>
  <c r="S539" i="1"/>
  <c r="S625" i="1"/>
  <c r="S696" i="1"/>
  <c r="S113" i="1"/>
  <c r="S216" i="1"/>
  <c r="S329" i="1"/>
  <c r="S418" i="1"/>
  <c r="S507" i="1"/>
  <c r="S592" i="1"/>
  <c r="S680" i="1"/>
  <c r="S129" i="1"/>
  <c r="S238" i="1"/>
  <c r="S330" i="1"/>
  <c r="S432" i="1"/>
  <c r="S521" i="1"/>
  <c r="S606" i="1"/>
  <c r="S23" i="1"/>
  <c r="S130" i="1"/>
  <c r="S253" i="1"/>
  <c r="S344" i="1"/>
  <c r="S433" i="1"/>
  <c r="S522" i="1"/>
  <c r="S610" i="1"/>
  <c r="S25" i="1"/>
  <c r="S154" i="1"/>
  <c r="S256" i="1"/>
  <c r="S349" i="1"/>
  <c r="S435" i="1"/>
  <c r="S523" i="1"/>
  <c r="S628" i="1"/>
  <c r="S43" i="1"/>
  <c r="S155" i="1"/>
  <c r="S257" i="1"/>
  <c r="S364" i="1"/>
  <c r="S449" i="1"/>
  <c r="S537" i="1"/>
  <c r="S642" i="1"/>
  <c r="S67" i="1"/>
  <c r="S173" i="1"/>
  <c r="S272" i="1"/>
  <c r="S365" i="1"/>
  <c r="S453" i="1"/>
  <c r="S553" i="1"/>
  <c r="S643" i="1"/>
  <c r="S68" i="1"/>
  <c r="S174" i="1"/>
  <c r="S274" i="1"/>
  <c r="S366" i="1"/>
  <c r="S454" i="1"/>
  <c r="S559" i="1"/>
  <c r="S644" i="1"/>
  <c r="S663" i="1"/>
  <c r="S416" i="1"/>
  <c r="S199" i="1"/>
  <c r="T700" i="1"/>
  <c r="T655" i="1"/>
  <c r="T622" i="1"/>
  <c r="T573" i="1"/>
  <c r="T535" i="1"/>
  <c r="T497" i="1"/>
  <c r="T448" i="1"/>
  <c r="T413" i="1"/>
  <c r="T364" i="1"/>
  <c r="T326" i="1"/>
  <c r="T287" i="1"/>
  <c r="T238" i="1"/>
  <c r="T203" i="1"/>
  <c r="T147" i="1"/>
  <c r="T89" i="1"/>
  <c r="S658" i="1"/>
  <c r="S402" i="1"/>
  <c r="S197" i="1"/>
  <c r="T689" i="1"/>
  <c r="T654" i="1"/>
  <c r="T618" i="1"/>
  <c r="T572" i="1"/>
  <c r="T534" i="1"/>
  <c r="T485" i="1"/>
  <c r="T447" i="1"/>
  <c r="T409" i="1"/>
  <c r="T363" i="1"/>
  <c r="T325" i="1"/>
  <c r="T275" i="1"/>
  <c r="T237" i="1"/>
  <c r="T189" i="1"/>
  <c r="T131" i="1"/>
  <c r="T75" i="1"/>
  <c r="T8" i="1"/>
  <c r="T27" i="1"/>
  <c r="T47" i="1"/>
  <c r="T66" i="1"/>
  <c r="T83" i="1"/>
  <c r="T105" i="1"/>
  <c r="T124" i="1"/>
  <c r="T141" i="1"/>
  <c r="T163" i="1"/>
  <c r="T182" i="1"/>
  <c r="T199" i="1"/>
  <c r="S591" i="1"/>
  <c r="S401" i="1"/>
  <c r="S175" i="1"/>
  <c r="T688" i="1"/>
  <c r="T653" i="1"/>
  <c r="T609" i="1"/>
  <c r="T571" i="1"/>
  <c r="T533" i="1"/>
  <c r="T484" i="1"/>
  <c r="T446" i="1"/>
  <c r="T400" i="1"/>
  <c r="T362" i="1"/>
  <c r="T323" i="1"/>
  <c r="T274" i="1"/>
  <c r="T236" i="1"/>
  <c r="T185" i="1"/>
  <c r="T127" i="1"/>
  <c r="T69" i="1"/>
  <c r="T11" i="1"/>
  <c r="T7" i="1"/>
  <c r="S589" i="1"/>
  <c r="S381" i="1"/>
  <c r="S109" i="1"/>
  <c r="T687" i="1"/>
  <c r="T652" i="1"/>
  <c r="T605" i="1"/>
  <c r="T570" i="1"/>
  <c r="T521" i="1"/>
  <c r="T483" i="1"/>
  <c r="T445" i="1"/>
  <c r="T395" i="1"/>
  <c r="T361" i="1"/>
  <c r="T311" i="1"/>
  <c r="T273" i="1"/>
  <c r="T235" i="1"/>
  <c r="T184" i="1"/>
  <c r="T126" i="1"/>
  <c r="T68" i="1"/>
  <c r="T10" i="1"/>
  <c r="T6" i="1"/>
  <c r="S575" i="1"/>
  <c r="S380" i="1"/>
  <c r="S89" i="1"/>
  <c r="T683" i="1"/>
  <c r="T641" i="1"/>
  <c r="T604" i="1"/>
  <c r="T566" i="1"/>
  <c r="T520" i="1"/>
  <c r="T482" i="1"/>
  <c r="T433" i="1"/>
  <c r="T394" i="1"/>
  <c r="T356" i="1"/>
  <c r="T310" i="1"/>
  <c r="T272" i="1"/>
  <c r="T223" i="1"/>
  <c r="T183" i="1"/>
  <c r="T125" i="1"/>
  <c r="T67" i="1"/>
  <c r="T9" i="1"/>
  <c r="T5" i="1"/>
  <c r="S574" i="1"/>
  <c r="S328" i="1"/>
  <c r="S88" i="1"/>
  <c r="T682" i="1"/>
  <c r="T640" i="1"/>
  <c r="T603" i="1"/>
  <c r="T557" i="1"/>
  <c r="T519" i="1"/>
  <c r="T481" i="1"/>
  <c r="T431" i="1"/>
  <c r="T393" i="1"/>
  <c r="T347" i="1"/>
  <c r="T309" i="1"/>
  <c r="T271" i="1"/>
  <c r="T222" i="1"/>
  <c r="T167" i="1"/>
  <c r="T111" i="1"/>
  <c r="T53" i="1"/>
  <c r="S573" i="1"/>
  <c r="S311" i="1"/>
  <c r="S85" i="1"/>
  <c r="T674" i="1"/>
  <c r="T639" i="1"/>
  <c r="T602" i="1"/>
  <c r="T553" i="1"/>
  <c r="T518" i="1"/>
  <c r="T469" i="1"/>
  <c r="T430" i="1"/>
  <c r="T392" i="1"/>
  <c r="T343" i="1"/>
  <c r="T308" i="1"/>
  <c r="T259" i="1"/>
  <c r="T221" i="1"/>
  <c r="T166" i="1"/>
  <c r="T110" i="1"/>
  <c r="T52" i="1"/>
  <c r="T697" i="1"/>
  <c r="T681" i="1"/>
  <c r="T666" i="1"/>
  <c r="T651" i="1"/>
  <c r="T635" i="1"/>
  <c r="T617" i="1"/>
  <c r="T601" i="1"/>
  <c r="T584" i="1"/>
  <c r="T565" i="1"/>
  <c r="T548" i="1"/>
  <c r="T532" i="1"/>
  <c r="T512" i="1"/>
  <c r="T496" i="1"/>
  <c r="T479" i="1"/>
  <c r="T460" i="1"/>
  <c r="T443" i="1"/>
  <c r="T427" i="1"/>
  <c r="T407" i="1"/>
  <c r="T391" i="1"/>
  <c r="T375" i="1"/>
  <c r="T355" i="1"/>
  <c r="T339" i="1"/>
  <c r="T322" i="1"/>
  <c r="T303" i="1"/>
  <c r="T286" i="1"/>
  <c r="T270" i="1"/>
  <c r="T250" i="1"/>
  <c r="T234" i="1"/>
  <c r="T218" i="1"/>
  <c r="T198" i="1"/>
  <c r="T179" i="1"/>
  <c r="T162" i="1"/>
  <c r="T140" i="1"/>
  <c r="T123" i="1"/>
  <c r="T104" i="1"/>
  <c r="T82" i="1"/>
  <c r="T65" i="1"/>
  <c r="T46" i="1"/>
  <c r="T26" i="1"/>
  <c r="T695" i="1"/>
  <c r="T680" i="1"/>
  <c r="T665" i="1"/>
  <c r="T650" i="1"/>
  <c r="T634" i="1"/>
  <c r="T616" i="1"/>
  <c r="T599" i="1"/>
  <c r="T583" i="1"/>
  <c r="T563" i="1"/>
  <c r="T547" i="1"/>
  <c r="T531" i="1"/>
  <c r="T511" i="1"/>
  <c r="T495" i="1"/>
  <c r="T478" i="1"/>
  <c r="T459" i="1"/>
  <c r="T442" i="1"/>
  <c r="T426" i="1"/>
  <c r="T406" i="1"/>
  <c r="T390" i="1"/>
  <c r="T374" i="1"/>
  <c r="T354" i="1"/>
  <c r="T338" i="1"/>
  <c r="T321" i="1"/>
  <c r="T302" i="1"/>
  <c r="T285" i="1"/>
  <c r="T269" i="1"/>
  <c r="T249" i="1"/>
  <c r="T233" i="1"/>
  <c r="T217" i="1"/>
  <c r="T197" i="1"/>
  <c r="T178" i="1"/>
  <c r="T161" i="1"/>
  <c r="T139" i="1"/>
  <c r="T122" i="1"/>
  <c r="T103" i="1"/>
  <c r="T81" i="1"/>
  <c r="T64" i="1"/>
  <c r="T45" i="1"/>
  <c r="T23" i="1"/>
  <c r="T694" i="1"/>
  <c r="T679" i="1"/>
  <c r="T664" i="1"/>
  <c r="T649" i="1"/>
  <c r="T631" i="1"/>
  <c r="T615" i="1"/>
  <c r="T598" i="1"/>
  <c r="T579" i="1"/>
  <c r="T562" i="1"/>
  <c r="T546" i="1"/>
  <c r="T526" i="1"/>
  <c r="T510" i="1"/>
  <c r="T494" i="1"/>
  <c r="T474" i="1"/>
  <c r="T458" i="1"/>
  <c r="T441" i="1"/>
  <c r="T422" i="1"/>
  <c r="T405" i="1"/>
  <c r="T389" i="1"/>
  <c r="T369" i="1"/>
  <c r="T353" i="1"/>
  <c r="T337" i="1"/>
  <c r="T317" i="1"/>
  <c r="T301" i="1"/>
  <c r="T284" i="1"/>
  <c r="T265" i="1"/>
  <c r="T248" i="1"/>
  <c r="T232" i="1"/>
  <c r="T212" i="1"/>
  <c r="T196" i="1"/>
  <c r="T177" i="1"/>
  <c r="T155" i="1"/>
  <c r="T138" i="1"/>
  <c r="T119" i="1"/>
  <c r="T99" i="1"/>
  <c r="T80" i="1"/>
  <c r="T63" i="1"/>
  <c r="T41" i="1"/>
  <c r="T22" i="1"/>
  <c r="T12" i="1"/>
  <c r="T24" i="1"/>
  <c r="T36" i="1"/>
  <c r="T48" i="1"/>
  <c r="T60" i="1"/>
  <c r="T72" i="1"/>
  <c r="T84" i="1"/>
  <c r="T96" i="1"/>
  <c r="T108" i="1"/>
  <c r="T120" i="1"/>
  <c r="T132" i="1"/>
  <c r="T144" i="1"/>
  <c r="T156" i="1"/>
  <c r="T168" i="1"/>
  <c r="T180" i="1"/>
  <c r="T192" i="1"/>
  <c r="T204" i="1"/>
  <c r="T216" i="1"/>
  <c r="T228" i="1"/>
  <c r="T240" i="1"/>
  <c r="T252" i="1"/>
  <c r="T264" i="1"/>
  <c r="T276" i="1"/>
  <c r="T288" i="1"/>
  <c r="T300" i="1"/>
  <c r="T312" i="1"/>
  <c r="T324" i="1"/>
  <c r="T336" i="1"/>
  <c r="T348" i="1"/>
  <c r="T360" i="1"/>
  <c r="T372" i="1"/>
  <c r="T384" i="1"/>
  <c r="T396" i="1"/>
  <c r="T408" i="1"/>
  <c r="T420" i="1"/>
  <c r="T432" i="1"/>
  <c r="T444" i="1"/>
  <c r="T456" i="1"/>
  <c r="T468" i="1"/>
  <c r="T480" i="1"/>
  <c r="T492" i="1"/>
  <c r="T504" i="1"/>
  <c r="T516" i="1"/>
  <c r="T528" i="1"/>
  <c r="T540" i="1"/>
  <c r="T552" i="1"/>
  <c r="T564" i="1"/>
  <c r="T576" i="1"/>
  <c r="T588" i="1"/>
  <c r="T600" i="1"/>
  <c r="T612" i="1"/>
  <c r="T624" i="1"/>
  <c r="T636" i="1"/>
  <c r="T648" i="1"/>
  <c r="T660" i="1"/>
  <c r="T672" i="1"/>
  <c r="T684" i="1"/>
  <c r="T696" i="1"/>
  <c r="T13" i="1"/>
  <c r="T25" i="1"/>
  <c r="T37" i="1"/>
  <c r="T49" i="1"/>
  <c r="T61" i="1"/>
  <c r="T73" i="1"/>
  <c r="T85" i="1"/>
  <c r="T97" i="1"/>
  <c r="T109" i="1"/>
  <c r="T121" i="1"/>
  <c r="T133" i="1"/>
  <c r="T145" i="1"/>
  <c r="T157" i="1"/>
  <c r="T169" i="1"/>
  <c r="T181" i="1"/>
  <c r="T193" i="1"/>
  <c r="T14" i="1"/>
  <c r="T28" i="1"/>
  <c r="T42" i="1"/>
  <c r="T56" i="1"/>
  <c r="T70" i="1"/>
  <c r="T86" i="1"/>
  <c r="T100" i="1"/>
  <c r="T114" i="1"/>
  <c r="T128" i="1"/>
  <c r="T142" i="1"/>
  <c r="T158" i="1"/>
  <c r="T172" i="1"/>
  <c r="T186" i="1"/>
  <c r="T200" i="1"/>
  <c r="T213" i="1"/>
  <c r="T226" i="1"/>
  <c r="T239" i="1"/>
  <c r="T253" i="1"/>
  <c r="T266" i="1"/>
  <c r="T279" i="1"/>
  <c r="T292" i="1"/>
  <c r="T305" i="1"/>
  <c r="T318" i="1"/>
  <c r="T331" i="1"/>
  <c r="T344" i="1"/>
  <c r="T357" i="1"/>
  <c r="T370" i="1"/>
  <c r="T383" i="1"/>
  <c r="T397" i="1"/>
  <c r="T410" i="1"/>
  <c r="T423" i="1"/>
  <c r="T436" i="1"/>
  <c r="T449" i="1"/>
  <c r="T462" i="1"/>
  <c r="T475" i="1"/>
  <c r="T488" i="1"/>
  <c r="T501" i="1"/>
  <c r="T514" i="1"/>
  <c r="T527" i="1"/>
  <c r="T541" i="1"/>
  <c r="T554" i="1"/>
  <c r="T567" i="1"/>
  <c r="T580" i="1"/>
  <c r="T593" i="1"/>
  <c r="T606" i="1"/>
  <c r="T619" i="1"/>
  <c r="T632" i="1"/>
  <c r="T645" i="1"/>
  <c r="T658" i="1"/>
  <c r="T671" i="1"/>
  <c r="T685" i="1"/>
  <c r="T698" i="1"/>
  <c r="T15" i="1"/>
  <c r="T29" i="1"/>
  <c r="T43" i="1"/>
  <c r="T57" i="1"/>
  <c r="T71" i="1"/>
  <c r="T87" i="1"/>
  <c r="T101" i="1"/>
  <c r="T115" i="1"/>
  <c r="T129" i="1"/>
  <c r="T143" i="1"/>
  <c r="T159" i="1"/>
  <c r="T173" i="1"/>
  <c r="T187" i="1"/>
  <c r="T201" i="1"/>
  <c r="T214" i="1"/>
  <c r="T227" i="1"/>
  <c r="T241" i="1"/>
  <c r="T254" i="1"/>
  <c r="T267" i="1"/>
  <c r="T280" i="1"/>
  <c r="T293" i="1"/>
  <c r="T306" i="1"/>
  <c r="T319" i="1"/>
  <c r="T332" i="1"/>
  <c r="T345" i="1"/>
  <c r="T358" i="1"/>
  <c r="T371" i="1"/>
  <c r="T385" i="1"/>
  <c r="T398" i="1"/>
  <c r="T411" i="1"/>
  <c r="T424" i="1"/>
  <c r="T437" i="1"/>
  <c r="T450" i="1"/>
  <c r="T463" i="1"/>
  <c r="T476" i="1"/>
  <c r="T489" i="1"/>
  <c r="T502" i="1"/>
  <c r="T515" i="1"/>
  <c r="T529" i="1"/>
  <c r="T542" i="1"/>
  <c r="T555" i="1"/>
  <c r="T568" i="1"/>
  <c r="T581" i="1"/>
  <c r="T594" i="1"/>
  <c r="T607" i="1"/>
  <c r="T620" i="1"/>
  <c r="T633" i="1"/>
  <c r="T646" i="1"/>
  <c r="T659" i="1"/>
  <c r="T673" i="1"/>
  <c r="T686" i="1"/>
  <c r="T699" i="1"/>
  <c r="T2" i="1"/>
  <c r="T16" i="1"/>
  <c r="T30" i="1"/>
  <c r="T44" i="1"/>
  <c r="T58" i="1"/>
  <c r="T74" i="1"/>
  <c r="T88" i="1"/>
  <c r="T102" i="1"/>
  <c r="T116" i="1"/>
  <c r="T130" i="1"/>
  <c r="T146" i="1"/>
  <c r="T160" i="1"/>
  <c r="T174" i="1"/>
  <c r="T188" i="1"/>
  <c r="T202" i="1"/>
  <c r="T215" i="1"/>
  <c r="T229" i="1"/>
  <c r="T242" i="1"/>
  <c r="T255" i="1"/>
  <c r="T268" i="1"/>
  <c r="T281" i="1"/>
  <c r="T294" i="1"/>
  <c r="T307" i="1"/>
  <c r="T320" i="1"/>
  <c r="T333" i="1"/>
  <c r="T346" i="1"/>
  <c r="T359" i="1"/>
  <c r="T373" i="1"/>
  <c r="T386" i="1"/>
  <c r="T399" i="1"/>
  <c r="T412" i="1"/>
  <c r="T425" i="1"/>
  <c r="T438" i="1"/>
  <c r="T451" i="1"/>
  <c r="T464" i="1"/>
  <c r="T477" i="1"/>
  <c r="T490" i="1"/>
  <c r="T503" i="1"/>
  <c r="T517" i="1"/>
  <c r="T530" i="1"/>
  <c r="T543" i="1"/>
  <c r="T556" i="1"/>
  <c r="T569" i="1"/>
  <c r="T582" i="1"/>
  <c r="T595" i="1"/>
  <c r="T608" i="1"/>
  <c r="T621" i="1"/>
  <c r="T693" i="1"/>
  <c r="T678" i="1"/>
  <c r="T663" i="1"/>
  <c r="T647" i="1"/>
  <c r="T630" i="1"/>
  <c r="T614" i="1"/>
  <c r="T597" i="1"/>
  <c r="T578" i="1"/>
  <c r="T561" i="1"/>
  <c r="T545" i="1"/>
  <c r="T525" i="1"/>
  <c r="T509" i="1"/>
  <c r="T493" i="1"/>
  <c r="T473" i="1"/>
  <c r="T457" i="1"/>
  <c r="T440" i="1"/>
  <c r="T421" i="1"/>
  <c r="T404" i="1"/>
  <c r="T388" i="1"/>
  <c r="T368" i="1"/>
  <c r="T352" i="1"/>
  <c r="T335" i="1"/>
  <c r="T316" i="1"/>
  <c r="T299" i="1"/>
  <c r="T283" i="1"/>
  <c r="T263" i="1"/>
  <c r="T247" i="1"/>
  <c r="T231" i="1"/>
  <c r="T211" i="1"/>
  <c r="T195" i="1"/>
  <c r="T176" i="1"/>
  <c r="T154" i="1"/>
  <c r="T137" i="1"/>
  <c r="T118" i="1"/>
  <c r="T98" i="1"/>
  <c r="T79" i="1"/>
  <c r="T62" i="1"/>
  <c r="T40" i="1"/>
  <c r="T21" i="1"/>
  <c r="T4" i="1"/>
  <c r="S22" i="1"/>
  <c r="T692" i="1"/>
  <c r="T677" i="1"/>
  <c r="T662" i="1"/>
  <c r="T644" i="1"/>
  <c r="T629" i="1"/>
  <c r="T613" i="1"/>
  <c r="T596" i="1"/>
  <c r="T577" i="1"/>
  <c r="T560" i="1"/>
  <c r="T544" i="1"/>
  <c r="T524" i="1"/>
  <c r="T508" i="1"/>
  <c r="T491" i="1"/>
  <c r="T472" i="1"/>
  <c r="T455" i="1"/>
  <c r="T439" i="1"/>
  <c r="T419" i="1"/>
  <c r="T403" i="1"/>
  <c r="T387" i="1"/>
  <c r="T367" i="1"/>
  <c r="T351" i="1"/>
  <c r="T334" i="1"/>
  <c r="T315" i="1"/>
  <c r="T298" i="1"/>
  <c r="T282" i="1"/>
  <c r="T262" i="1"/>
  <c r="T246" i="1"/>
  <c r="T230" i="1"/>
  <c r="T210" i="1"/>
  <c r="T194" i="1"/>
  <c r="T175" i="1"/>
  <c r="T153" i="1"/>
  <c r="T136" i="1"/>
  <c r="T117" i="1"/>
  <c r="T95" i="1"/>
  <c r="T78" i="1"/>
  <c r="T59" i="1"/>
  <c r="T39" i="1"/>
  <c r="T20" i="1"/>
  <c r="T3" i="1"/>
  <c r="S17" i="1"/>
  <c r="T706" i="1"/>
  <c r="T691" i="1"/>
  <c r="T676" i="1"/>
  <c r="T661" i="1"/>
  <c r="T643" i="1"/>
  <c r="T628" i="1"/>
  <c r="T611" i="1"/>
  <c r="T592" i="1"/>
  <c r="T575" i="1"/>
  <c r="T559" i="1"/>
  <c r="T539" i="1"/>
  <c r="T523" i="1"/>
  <c r="T507" i="1"/>
  <c r="T487" i="1"/>
  <c r="T471" i="1"/>
  <c r="T454" i="1"/>
  <c r="T435" i="1"/>
  <c r="T418" i="1"/>
  <c r="T402" i="1"/>
  <c r="T382" i="1"/>
  <c r="T366" i="1"/>
  <c r="T350" i="1"/>
  <c r="T330" i="1"/>
  <c r="T314" i="1"/>
  <c r="T297" i="1"/>
  <c r="T278" i="1"/>
  <c r="T261" i="1"/>
  <c r="T245" i="1"/>
  <c r="T225" i="1"/>
  <c r="T209" i="1"/>
  <c r="T191" i="1"/>
  <c r="T171" i="1"/>
  <c r="T152" i="1"/>
  <c r="T135" i="1"/>
  <c r="T113" i="1"/>
  <c r="T94" i="1"/>
  <c r="T77" i="1"/>
  <c r="T55" i="1"/>
  <c r="T38" i="1"/>
  <c r="T19" i="1"/>
  <c r="T705" i="1"/>
  <c r="T690" i="1"/>
  <c r="T675" i="1"/>
  <c r="T657" i="1"/>
  <c r="T642" i="1"/>
  <c r="T627" i="1"/>
  <c r="T610" i="1"/>
  <c r="T591" i="1"/>
  <c r="T574" i="1"/>
  <c r="T558" i="1"/>
  <c r="T538" i="1"/>
  <c r="T522" i="1"/>
  <c r="T506" i="1"/>
  <c r="T486" i="1"/>
  <c r="T470" i="1"/>
  <c r="T453" i="1"/>
  <c r="T434" i="1"/>
  <c r="T417" i="1"/>
  <c r="T401" i="1"/>
  <c r="T381" i="1"/>
  <c r="T365" i="1"/>
  <c r="T349" i="1"/>
  <c r="T329" i="1"/>
  <c r="T313" i="1"/>
  <c r="T296" i="1"/>
  <c r="T277" i="1"/>
  <c r="T260" i="1"/>
  <c r="T244" i="1"/>
  <c r="T224" i="1"/>
  <c r="T208" i="1"/>
  <c r="T190" i="1"/>
  <c r="T170" i="1"/>
  <c r="T151" i="1"/>
  <c r="T134" i="1"/>
  <c r="T112" i="1"/>
  <c r="T93" i="1"/>
  <c r="T76" i="1"/>
  <c r="T54" i="1"/>
  <c r="T35" i="1"/>
  <c r="T18" i="1"/>
  <c r="S16" i="1"/>
  <c r="S13" i="1"/>
  <c r="S693" i="1"/>
  <c r="S677" i="1"/>
  <c r="S657" i="1"/>
  <c r="S641" i="1"/>
  <c r="S624" i="1"/>
  <c r="S605" i="1"/>
  <c r="S588" i="1"/>
  <c r="S572" i="1"/>
  <c r="S552" i="1"/>
  <c r="S536" i="1"/>
  <c r="S520" i="1"/>
  <c r="S500" i="1"/>
  <c r="S484" i="1"/>
  <c r="S467" i="1"/>
  <c r="S448" i="1"/>
  <c r="S431" i="1"/>
  <c r="S415" i="1"/>
  <c r="S395" i="1"/>
  <c r="S379" i="1"/>
  <c r="S363" i="1"/>
  <c r="S343" i="1"/>
  <c r="S327" i="1"/>
  <c r="S310" i="1"/>
  <c r="S288" i="1"/>
  <c r="S271" i="1"/>
  <c r="S252" i="1"/>
  <c r="S232" i="1"/>
  <c r="S213" i="1"/>
  <c r="S196" i="1"/>
  <c r="S172" i="1"/>
  <c r="S152" i="1"/>
  <c r="S128" i="1"/>
  <c r="S108" i="1"/>
  <c r="S84" i="1"/>
  <c r="S66" i="1"/>
  <c r="S42" i="1"/>
  <c r="S692" i="1"/>
  <c r="S676" i="1"/>
  <c r="S656" i="1"/>
  <c r="S640" i="1"/>
  <c r="S623" i="1"/>
  <c r="S604" i="1"/>
  <c r="S587" i="1"/>
  <c r="S571" i="1"/>
  <c r="S551" i="1"/>
  <c r="S535" i="1"/>
  <c r="S519" i="1"/>
  <c r="S499" i="1"/>
  <c r="S483" i="1"/>
  <c r="S466" i="1"/>
  <c r="S447" i="1"/>
  <c r="S430" i="1"/>
  <c r="S414" i="1"/>
  <c r="S394" i="1"/>
  <c r="S378" i="1"/>
  <c r="S361" i="1"/>
  <c r="S342" i="1"/>
  <c r="S325" i="1"/>
  <c r="S309" i="1"/>
  <c r="S287" i="1"/>
  <c r="S270" i="1"/>
  <c r="S251" i="1"/>
  <c r="S229" i="1"/>
  <c r="S212" i="1"/>
  <c r="S189" i="1"/>
  <c r="S169" i="1"/>
  <c r="S145" i="1"/>
  <c r="S127" i="1"/>
  <c r="S103" i="1"/>
  <c r="S83" i="1"/>
  <c r="S59" i="1"/>
  <c r="S41" i="1"/>
  <c r="S691" i="1"/>
  <c r="S671" i="1"/>
  <c r="S655" i="1"/>
  <c r="S639" i="1"/>
  <c r="S619" i="1"/>
  <c r="S603" i="1"/>
  <c r="S586" i="1"/>
  <c r="S567" i="1"/>
  <c r="S550" i="1"/>
  <c r="S534" i="1"/>
  <c r="S514" i="1"/>
  <c r="S498" i="1"/>
  <c r="S481" i="1"/>
  <c r="S462" i="1"/>
  <c r="S445" i="1"/>
  <c r="S429" i="1"/>
  <c r="S409" i="1"/>
  <c r="S393" i="1"/>
  <c r="S377" i="1"/>
  <c r="S357" i="1"/>
  <c r="S341" i="1"/>
  <c r="S324" i="1"/>
  <c r="S305" i="1"/>
  <c r="S286" i="1"/>
  <c r="S269" i="1"/>
  <c r="S247" i="1"/>
  <c r="S228" i="1"/>
  <c r="S211" i="1"/>
  <c r="S188" i="1"/>
  <c r="S168" i="1"/>
  <c r="S144" i="1"/>
  <c r="S126" i="1"/>
  <c r="S102" i="1"/>
  <c r="S82" i="1"/>
  <c r="S58" i="1"/>
  <c r="S40" i="1"/>
  <c r="S706" i="1"/>
  <c r="S690" i="1"/>
  <c r="S670" i="1"/>
  <c r="S654" i="1"/>
  <c r="S637" i="1"/>
  <c r="S618" i="1"/>
  <c r="S601" i="1"/>
  <c r="S585" i="1"/>
  <c r="S565" i="1"/>
  <c r="S549" i="1"/>
  <c r="S533" i="1"/>
  <c r="S513" i="1"/>
  <c r="S497" i="1"/>
  <c r="S480" i="1"/>
  <c r="S461" i="1"/>
  <c r="S444" i="1"/>
  <c r="S428" i="1"/>
  <c r="S408" i="1"/>
  <c r="S392" i="1"/>
  <c r="S376" i="1"/>
  <c r="S356" i="1"/>
  <c r="S340" i="1"/>
  <c r="S323" i="1"/>
  <c r="S304" i="1"/>
  <c r="S285" i="1"/>
  <c r="S268" i="1"/>
  <c r="S246" i="1"/>
  <c r="S227" i="1"/>
  <c r="S210" i="1"/>
  <c r="S187" i="1"/>
  <c r="S167" i="1"/>
  <c r="S143" i="1"/>
  <c r="S125" i="1"/>
  <c r="S101" i="1"/>
  <c r="S81" i="1"/>
  <c r="S57" i="1"/>
  <c r="S37" i="1"/>
  <c r="S705" i="1"/>
  <c r="S689" i="1"/>
  <c r="S669" i="1"/>
  <c r="S653" i="1"/>
  <c r="S636" i="1"/>
  <c r="S617" i="1"/>
  <c r="S600" i="1"/>
  <c r="S584" i="1"/>
  <c r="S564" i="1"/>
  <c r="S548" i="1"/>
  <c r="S532" i="1"/>
  <c r="S512" i="1"/>
  <c r="S496" i="1"/>
  <c r="S479" i="1"/>
  <c r="S460" i="1"/>
  <c r="S443" i="1"/>
  <c r="S427" i="1"/>
  <c r="S407" i="1"/>
  <c r="S391" i="1"/>
  <c r="S375" i="1"/>
  <c r="S355" i="1"/>
  <c r="S339" i="1"/>
  <c r="S322" i="1"/>
  <c r="S301" i="1"/>
  <c r="S284" i="1"/>
  <c r="S265" i="1"/>
  <c r="S245" i="1"/>
  <c r="S226" i="1"/>
  <c r="S209" i="1"/>
  <c r="S186" i="1"/>
  <c r="S166" i="1"/>
  <c r="S142" i="1"/>
  <c r="S124" i="1"/>
  <c r="S100" i="1"/>
  <c r="S80" i="1"/>
  <c r="S56" i="1"/>
  <c r="S36" i="1"/>
  <c r="S2" i="1"/>
  <c r="S14" i="1"/>
  <c r="S26" i="1"/>
  <c r="S38" i="1"/>
  <c r="S50" i="1"/>
  <c r="S62" i="1"/>
  <c r="S74" i="1"/>
  <c r="S86" i="1"/>
  <c r="S98" i="1"/>
  <c r="S110" i="1"/>
  <c r="S122" i="1"/>
  <c r="S134" i="1"/>
  <c r="S146" i="1"/>
  <c r="S158" i="1"/>
  <c r="S170" i="1"/>
  <c r="S182" i="1"/>
  <c r="S194" i="1"/>
  <c r="S206" i="1"/>
  <c r="S218" i="1"/>
  <c r="S230" i="1"/>
  <c r="S242" i="1"/>
  <c r="S254" i="1"/>
  <c r="S266" i="1"/>
  <c r="S278" i="1"/>
  <c r="S290" i="1"/>
  <c r="S302" i="1"/>
  <c r="S314" i="1"/>
  <c r="S326" i="1"/>
  <c r="S338" i="1"/>
  <c r="S350" i="1"/>
  <c r="S362" i="1"/>
  <c r="S374" i="1"/>
  <c r="S386" i="1"/>
  <c r="S398" i="1"/>
  <c r="S410" i="1"/>
  <c r="S422" i="1"/>
  <c r="S434" i="1"/>
  <c r="S446" i="1"/>
  <c r="S458" i="1"/>
  <c r="S470" i="1"/>
  <c r="S482" i="1"/>
  <c r="S494" i="1"/>
  <c r="S506" i="1"/>
  <c r="S518" i="1"/>
  <c r="S530" i="1"/>
  <c r="S542" i="1"/>
  <c r="S554" i="1"/>
  <c r="S566" i="1"/>
  <c r="S578" i="1"/>
  <c r="S590" i="1"/>
  <c r="S602" i="1"/>
  <c r="S614" i="1"/>
  <c r="S626" i="1"/>
  <c r="S638" i="1"/>
  <c r="S650" i="1"/>
  <c r="S662" i="1"/>
  <c r="S674" i="1"/>
  <c r="S686" i="1"/>
  <c r="S698" i="1"/>
  <c r="S3" i="1"/>
  <c r="S15" i="1"/>
  <c r="S27" i="1"/>
  <c r="S39" i="1"/>
  <c r="S51" i="1"/>
  <c r="S63" i="1"/>
  <c r="S75" i="1"/>
  <c r="S87" i="1"/>
  <c r="S99" i="1"/>
  <c r="S111" i="1"/>
  <c r="S123" i="1"/>
  <c r="S135" i="1"/>
  <c r="S147" i="1"/>
  <c r="S159" i="1"/>
  <c r="S171" i="1"/>
  <c r="S183" i="1"/>
  <c r="S195" i="1"/>
  <c r="S207" i="1"/>
  <c r="S219" i="1"/>
  <c r="S231" i="1"/>
  <c r="S243" i="1"/>
  <c r="S255" i="1"/>
  <c r="S267" i="1"/>
  <c r="S279" i="1"/>
  <c r="S291" i="1"/>
  <c r="S303" i="1"/>
  <c r="S4" i="1"/>
  <c r="S18" i="1"/>
  <c r="S32" i="1"/>
  <c r="S46" i="1"/>
  <c r="S60" i="1"/>
  <c r="S76" i="1"/>
  <c r="S90" i="1"/>
  <c r="S104" i="1"/>
  <c r="S118" i="1"/>
  <c r="S132" i="1"/>
  <c r="S148" i="1"/>
  <c r="S162" i="1"/>
  <c r="S176" i="1"/>
  <c r="S190" i="1"/>
  <c r="S204" i="1"/>
  <c r="S220" i="1"/>
  <c r="S234" i="1"/>
  <c r="S248" i="1"/>
  <c r="S262" i="1"/>
  <c r="S276" i="1"/>
  <c r="S292" i="1"/>
  <c r="S306" i="1"/>
  <c r="S319" i="1"/>
  <c r="S332" i="1"/>
  <c r="S345" i="1"/>
  <c r="S358" i="1"/>
  <c r="S371" i="1"/>
  <c r="S384" i="1"/>
  <c r="S397" i="1"/>
  <c r="S411" i="1"/>
  <c r="S424" i="1"/>
  <c r="S437" i="1"/>
  <c r="S450" i="1"/>
  <c r="S463" i="1"/>
  <c r="S476" i="1"/>
  <c r="S489" i="1"/>
  <c r="S502" i="1"/>
  <c r="S515" i="1"/>
  <c r="S528" i="1"/>
  <c r="S541" i="1"/>
  <c r="S555" i="1"/>
  <c r="S568" i="1"/>
  <c r="S581" i="1"/>
  <c r="S594" i="1"/>
  <c r="S607" i="1"/>
  <c r="S620" i="1"/>
  <c r="S633" i="1"/>
  <c r="S646" i="1"/>
  <c r="S659" i="1"/>
  <c r="S672" i="1"/>
  <c r="S685" i="1"/>
  <c r="S699" i="1"/>
  <c r="S5" i="1"/>
  <c r="S19" i="1"/>
  <c r="S33" i="1"/>
  <c r="S47" i="1"/>
  <c r="S61" i="1"/>
  <c r="S77" i="1"/>
  <c r="S91" i="1"/>
  <c r="S105" i="1"/>
  <c r="S119" i="1"/>
  <c r="S133" i="1"/>
  <c r="S149" i="1"/>
  <c r="S163" i="1"/>
  <c r="S177" i="1"/>
  <c r="S191" i="1"/>
  <c r="S205" i="1"/>
  <c r="S221" i="1"/>
  <c r="S235" i="1"/>
  <c r="S249" i="1"/>
  <c r="S263" i="1"/>
  <c r="S277" i="1"/>
  <c r="S293" i="1"/>
  <c r="S307" i="1"/>
  <c r="S320" i="1"/>
  <c r="S333" i="1"/>
  <c r="S346" i="1"/>
  <c r="S359" i="1"/>
  <c r="S372" i="1"/>
  <c r="S385" i="1"/>
  <c r="S399" i="1"/>
  <c r="S412" i="1"/>
  <c r="S425" i="1"/>
  <c r="S438" i="1"/>
  <c r="S451" i="1"/>
  <c r="S464" i="1"/>
  <c r="S477" i="1"/>
  <c r="S490" i="1"/>
  <c r="S503" i="1"/>
  <c r="S516" i="1"/>
  <c r="S529" i="1"/>
  <c r="S543" i="1"/>
  <c r="S556" i="1"/>
  <c r="S569" i="1"/>
  <c r="S582" i="1"/>
  <c r="S595" i="1"/>
  <c r="S608" i="1"/>
  <c r="S621" i="1"/>
  <c r="S634" i="1"/>
  <c r="S647" i="1"/>
  <c r="S660" i="1"/>
  <c r="S673" i="1"/>
  <c r="S687" i="1"/>
  <c r="S700" i="1"/>
  <c r="S6" i="1"/>
  <c r="S20" i="1"/>
  <c r="S34" i="1"/>
  <c r="S48" i="1"/>
  <c r="S64" i="1"/>
  <c r="S78" i="1"/>
  <c r="S92" i="1"/>
  <c r="S106" i="1"/>
  <c r="S120" i="1"/>
  <c r="S136" i="1"/>
  <c r="S150" i="1"/>
  <c r="S164" i="1"/>
  <c r="S178" i="1"/>
  <c r="S192" i="1"/>
  <c r="S208" i="1"/>
  <c r="S222" i="1"/>
  <c r="S236" i="1"/>
  <c r="S250" i="1"/>
  <c r="S264" i="1"/>
  <c r="S280" i="1"/>
  <c r="S294" i="1"/>
  <c r="S308" i="1"/>
  <c r="S321" i="1"/>
  <c r="S334" i="1"/>
  <c r="S347" i="1"/>
  <c r="S360" i="1"/>
  <c r="S373" i="1"/>
  <c r="S387" i="1"/>
  <c r="S400" i="1"/>
  <c r="S413" i="1"/>
  <c r="S426" i="1"/>
  <c r="S439" i="1"/>
  <c r="S452" i="1"/>
  <c r="S465" i="1"/>
  <c r="S478" i="1"/>
  <c r="S491" i="1"/>
  <c r="S504" i="1"/>
  <c r="S517" i="1"/>
  <c r="S531" i="1"/>
  <c r="S544" i="1"/>
  <c r="S557" i="1"/>
  <c r="S570" i="1"/>
  <c r="S583" i="1"/>
  <c r="S596" i="1"/>
  <c r="S609" i="1"/>
  <c r="S622" i="1"/>
  <c r="S635" i="1"/>
  <c r="S648" i="1"/>
  <c r="S661" i="1"/>
  <c r="S675" i="1"/>
  <c r="S688" i="1"/>
  <c r="S701" i="1"/>
  <c r="S7" i="1"/>
  <c r="S21" i="1"/>
  <c r="S35" i="1"/>
  <c r="S49" i="1"/>
  <c r="S65" i="1"/>
  <c r="S79" i="1"/>
  <c r="S93" i="1"/>
  <c r="S107" i="1"/>
  <c r="S121" i="1"/>
  <c r="S137" i="1"/>
  <c r="S151" i="1"/>
  <c r="S165" i="1"/>
  <c r="S179" i="1"/>
  <c r="S193" i="1"/>
  <c r="S704" i="1"/>
  <c r="S684" i="1"/>
  <c r="S668" i="1"/>
  <c r="S652" i="1"/>
  <c r="S632" i="1"/>
  <c r="S616" i="1"/>
  <c r="S599" i="1"/>
  <c r="S580" i="1"/>
  <c r="S563" i="1"/>
  <c r="S547" i="1"/>
  <c r="S527" i="1"/>
  <c r="S511" i="1"/>
  <c r="S495" i="1"/>
  <c r="S475" i="1"/>
  <c r="S459" i="1"/>
  <c r="S442" i="1"/>
  <c r="S423" i="1"/>
  <c r="S406" i="1"/>
  <c r="S390" i="1"/>
  <c r="S370" i="1"/>
  <c r="S354" i="1"/>
  <c r="S337" i="1"/>
  <c r="S318" i="1"/>
  <c r="S300" i="1"/>
  <c r="S283" i="1"/>
  <c r="S261" i="1"/>
  <c r="S244" i="1"/>
  <c r="S225" i="1"/>
  <c r="S203" i="1"/>
  <c r="S185" i="1"/>
  <c r="S161" i="1"/>
  <c r="S141" i="1"/>
  <c r="S117" i="1"/>
  <c r="S97" i="1"/>
  <c r="S73" i="1"/>
  <c r="S55" i="1"/>
  <c r="S31" i="1"/>
  <c r="S11" i="1"/>
  <c r="S703" i="1"/>
  <c r="S683" i="1"/>
  <c r="S667" i="1"/>
  <c r="S651" i="1"/>
  <c r="S631" i="1"/>
  <c r="S615" i="1"/>
  <c r="S598" i="1"/>
  <c r="S579" i="1"/>
  <c r="S562" i="1"/>
  <c r="S546" i="1"/>
  <c r="S526" i="1"/>
  <c r="S510" i="1"/>
  <c r="S493" i="1"/>
  <c r="S474" i="1"/>
  <c r="S457" i="1"/>
  <c r="S441" i="1"/>
  <c r="S421" i="1"/>
  <c r="S405" i="1"/>
  <c r="S389" i="1"/>
  <c r="S369" i="1"/>
  <c r="S353" i="1"/>
  <c r="S336" i="1"/>
  <c r="S317" i="1"/>
  <c r="S299" i="1"/>
  <c r="S282" i="1"/>
  <c r="S260" i="1"/>
  <c r="S241" i="1"/>
  <c r="S224" i="1"/>
  <c r="S202" i="1"/>
  <c r="S184" i="1"/>
  <c r="S160" i="1"/>
  <c r="S140" i="1"/>
  <c r="S116" i="1"/>
  <c r="S96" i="1"/>
  <c r="S72" i="1"/>
  <c r="S54" i="1"/>
  <c r="S30" i="1"/>
  <c r="S10" i="1"/>
  <c r="S702" i="1"/>
  <c r="S682" i="1"/>
  <c r="S666" i="1"/>
  <c r="S649" i="1"/>
  <c r="S630" i="1"/>
  <c r="S613" i="1"/>
  <c r="S597" i="1"/>
  <c r="S577" i="1"/>
  <c r="S561" i="1"/>
  <c r="S545" i="1"/>
  <c r="S525" i="1"/>
  <c r="S509" i="1"/>
  <c r="S492" i="1"/>
  <c r="S473" i="1"/>
  <c r="S456" i="1"/>
  <c r="S440" i="1"/>
  <c r="S420" i="1"/>
  <c r="S404" i="1"/>
  <c r="S388" i="1"/>
  <c r="S368" i="1"/>
  <c r="S352" i="1"/>
  <c r="S335" i="1"/>
  <c r="S316" i="1"/>
  <c r="S298" i="1"/>
  <c r="S281" i="1"/>
  <c r="S259" i="1"/>
  <c r="S240" i="1"/>
  <c r="S223" i="1"/>
  <c r="S201" i="1"/>
  <c r="S181" i="1"/>
  <c r="S157" i="1"/>
  <c r="S139" i="1"/>
  <c r="S115" i="1"/>
  <c r="S95" i="1"/>
  <c r="S71" i="1"/>
  <c r="S53" i="1"/>
  <c r="S29" i="1"/>
  <c r="S9" i="1"/>
  <c r="S697" i="1"/>
  <c r="S681" i="1"/>
  <c r="S665" i="1"/>
  <c r="S645" i="1"/>
  <c r="S629" i="1"/>
  <c r="S612" i="1"/>
  <c r="S593" i="1"/>
  <c r="S576" i="1"/>
  <c r="S560" i="1"/>
  <c r="S540" i="1"/>
  <c r="S524" i="1"/>
  <c r="S508" i="1"/>
  <c r="S488" i="1"/>
  <c r="S472" i="1"/>
  <c r="S455" i="1"/>
  <c r="S436" i="1"/>
  <c r="S419" i="1"/>
  <c r="S403" i="1"/>
  <c r="S383" i="1"/>
  <c r="S367" i="1"/>
  <c r="S351" i="1"/>
  <c r="S331" i="1"/>
  <c r="S315" i="1"/>
  <c r="S297" i="1"/>
  <c r="S275" i="1"/>
  <c r="S258" i="1"/>
  <c r="S239" i="1"/>
  <c r="S217" i="1"/>
  <c r="S200" i="1"/>
  <c r="S180" i="1"/>
  <c r="S156" i="1"/>
  <c r="S138" i="1"/>
  <c r="S114" i="1"/>
  <c r="S94" i="1"/>
  <c r="S70" i="1"/>
  <c r="S52" i="1"/>
  <c r="S28" i="1"/>
  <c r="S8" i="1"/>
</calcChain>
</file>

<file path=xl/sharedStrings.xml><?xml version="1.0" encoding="utf-8"?>
<sst xmlns="http://schemas.openxmlformats.org/spreadsheetml/2006/main" count="4329" uniqueCount="191">
  <si>
    <t>Student_ID</t>
  </si>
  <si>
    <t>Age</t>
  </si>
  <si>
    <t>Gender</t>
  </si>
  <si>
    <t>Academic_Level</t>
  </si>
  <si>
    <t>Country</t>
  </si>
  <si>
    <t>Avg_Daily_Usage_Hours</t>
  </si>
  <si>
    <t>Most_Used_Platform</t>
  </si>
  <si>
    <t>Affects_Academic_Performance</t>
  </si>
  <si>
    <t>Sleep_Hours_Per_Night</t>
  </si>
  <si>
    <t>Mental_Health_Score</t>
  </si>
  <si>
    <t>Relationship_Status</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</si>
  <si>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</si>
  <si>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</si>
  <si>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</si>
  <si>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</si>
  <si>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</si>
  <si>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</si>
  <si>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</si>
  <si>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</si>
  <si>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</si>
  <si>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</si>
  <si>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</si>
  <si>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</si>
  <si>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</si>
  <si>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</si>
  <si>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</si>
  <si>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</si>
  <si>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</si>
  <si>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</si>
  <si>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</si>
  <si>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</si>
  <si>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</si>
  <si>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</si>
  <si>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</si>
  <si>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</si>
  <si>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</si>
  <si>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</si>
  <si>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</si>
  <si>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</si>
  <si>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</si>
  <si>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</si>
  <si>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</si>
  <si>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</si>
  <si>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</si>
  <si>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</si>
  <si>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</si>
  <si>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</si>
  <si>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</si>
  <si>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</si>
  <si>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</si>
  <si>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</si>
  <si>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</si>
  <si>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</si>
  <si>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</si>
  <si>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</si>
  <si>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</si>
  <si>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</si>
  <si>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</si>
  <si>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</si>
  <si>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</si>
  <si>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</si>
  <si>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</si>
  <si>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</si>
  <si>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</si>
  <si>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</si>
  <si>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</si>
  <si>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</si>
  <si>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</si>
  <si>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</si>
  <si>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</si>
  <si>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</si>
  <si>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</si>
  <si>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</si>
  <si>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</si>
  <si>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</si>
  <si>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</si>
  <si>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</si>
  <si>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</si>
  <si>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</si>
  <si>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</si>
  <si>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</si>
  <si>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</si>
  <si>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</si>
  <si>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</si>
  <si>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</si>
  <si>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</si>
  <si>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</si>
  <si>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</si>
  <si>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</si>
  <si>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</si>
  <si>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</si>
  <si>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</si>
  <si>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</si>
  <si>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</si>
  <si>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</si>
  <si>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</si>
  <si>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</si>
  <si>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</si>
  <si>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</si>
  <si>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</si>
  <si>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</si>
  <si>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</si>
  <si>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</si>
  <si>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</si>
  <si>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</si>
  <si>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</si>
  <si>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</si>
  <si>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</si>
  <si>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</si>
  <si>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</si>
  <si>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</si>
  <si>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</si>
  <si>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</si>
  <si>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</si>
  <si>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</si>
  <si>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</si>
  <si>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</si>
  <si>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</si>
  <si>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</si>
  <si>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</si>
  <si>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</si>
  <si>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</si>
  <si>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</si>
  <si>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</si>
  <si>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</si>
  <si>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</si>
  <si>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</si>
  <si>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</si>
  <si>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</si>
  <si>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</si>
  <si>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</si>
  <si>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</si>
  <si>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</si>
  <si>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</si>
  <si>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</si>
  <si>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</si>
  <si>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</si>
  <si>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</si>
  <si>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</si>
  <si>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</si>
  <si>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</si>
  <si>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</si>
  <si>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</si>
  <si>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</si>
  <si>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Age_Group</t>
  </si>
  <si>
    <t>Usage Category</t>
  </si>
  <si>
    <t>Addiction Level</t>
  </si>
  <si>
    <t>Sleep Quality</t>
  </si>
  <si>
    <t>Academic Impact Flag</t>
  </si>
  <si>
    <t>Mental Health Status</t>
  </si>
  <si>
    <t>Row Labels</t>
  </si>
  <si>
    <t>High</t>
  </si>
  <si>
    <t>Low</t>
  </si>
  <si>
    <t>Medium</t>
  </si>
  <si>
    <t>Grand Total</t>
  </si>
  <si>
    <t>P1</t>
  </si>
  <si>
    <t>Average of Addicted_Score</t>
  </si>
  <si>
    <t>Platform vs Avg Addiction Score</t>
  </si>
  <si>
    <t>P2</t>
  </si>
  <si>
    <t>Academic Impact Analysis</t>
  </si>
  <si>
    <t>P3</t>
  </si>
  <si>
    <t>Moderate</t>
  </si>
  <si>
    <t>Very High</t>
  </si>
  <si>
    <t>Average of Sleep_Hours_Per_Night</t>
  </si>
  <si>
    <t>Usage Category vs Sleep</t>
  </si>
  <si>
    <t>P4</t>
  </si>
  <si>
    <t>Average of Mental_Health_Score</t>
  </si>
  <si>
    <t>P5</t>
  </si>
  <si>
    <t>Academic Level vs Addiction</t>
  </si>
  <si>
    <t>P6</t>
  </si>
  <si>
    <t>Count of Student_ID</t>
  </si>
  <si>
    <t>Average of Avg_Daily_Usage_Hours</t>
  </si>
  <si>
    <t>% High Addiction Students</t>
  </si>
  <si>
    <t>% Academic Performance Affected</t>
  </si>
  <si>
    <t>Average Sleep Hours</t>
  </si>
  <si>
    <t>Average Mental Health Score</t>
  </si>
  <si>
    <t xml:space="preserve">insight :- </t>
  </si>
  <si>
    <t>We can conclude that the Whatsapp is most harmful platform as compare to other social media platforms</t>
  </si>
  <si>
    <t>we can conclude that out of 705 students the majority of students are adddicted to the social media</t>
  </si>
  <si>
    <t>insight :-</t>
  </si>
  <si>
    <t>Insight :-</t>
  </si>
  <si>
    <t>we can conclude that out of 705 students 453 students are affected by social media platform because of high addiction score</t>
  </si>
  <si>
    <t>we can conclude that the students which are addicted to the social media are having very poor sleep hour which might afffects their mental health</t>
  </si>
  <si>
    <t>we can conclude that Graduate students are less affected to social media as compare to high Scool and Undergraduate students</t>
  </si>
  <si>
    <t>we can conclude that the graduate students are less addicted to social media and hence they lower addiction score as compare to others</t>
  </si>
  <si>
    <t>Adiction level Distribution</t>
  </si>
  <si>
    <t>Min of % High Addiction Students</t>
  </si>
  <si>
    <t>Min of % Academic Performance Affected</t>
  </si>
  <si>
    <t>Min of Average Sleep Hours</t>
  </si>
  <si>
    <t>Min of Average Mental Health Score</t>
  </si>
  <si>
    <t>Academic Level vs Mental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</si>
</sst>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4" borderId="0" xfId="0" applyFill="1"/>
    <xf numFmtId="0" fontId="0" fillId="0" borderId="0" xfId="0" pivotButton="1"/>
    <xf numFmtId="0" fontId="0" fillId="0" borderId="0" xfId="0" applyAlignment="1">
      <alignment horizontal="left"/>
    </xf>
    <xf numFmtId="0" fontId="0" fillId="0" borderId="0" xfId="0" applyAlignment="1">
      <alignment horizontal="centerContinuous"/>
    </xf>
    <xf numFmtId="0" fontId="17" fillId="33" borderId="0" xfId="0" applyFont="1" applyFill="1" applyAlignment="1">
      <alignment horizontal="centerContinuous"/>
    </xf>
    <xf numFmtId="0" fontId="13" fillId="33" borderId="0" xfId="0" applyFont="1" applyFill="1" applyAlignment="1">
      <alignment horizontal="centerContinuous"/>
    </xf>
    <xf numFmtId="0" fontId="16" fillId="35" borderId="0" xfId="0" applyFont="1" applyFill="1"/>
    <xf numFmtId="9" fontId="0" fillId="0" borderId="0" xfId="1" applyFont="1"/>
    <xf numFmtId="0" fontId="0" fillId="36" borderId="0" xfId="0" applyFill="1"/>
    <xf numFmtId="0" fontId="0" fillId="0" borderId="0" xfId="0" applyAlignment="1">
      <alignment horizontal="centerContinuous" wrapText="1"/>
    </xf>
    <xf numFmtId="0" fontId="13" fillId="33" borderId="0" xfId="0" applyFont="1" applyFill="1" applyAlignment="1">
      <alignment horizontal="left"/>
    </xf>
    <xf numFmtId="2" fontId="0" fillId="0" borderId="0" xfId="0" applyNumberFormat="1"/>
    <xf numFmtId="0" fontId="17" fillId="34"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6">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font>
        <b/>
      </font>
      <fill>
        <patternFill patternType="solid">
          <fgColor indexed="64"/>
          <bgColor theme="6" tint="0.5999938962981048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4"/>
        <color theme="6" tint="-0.499984740745262"/>
      </font>
      <fill>
        <patternFill>
          <bgColor theme="6" tint="0.59996337778862885"/>
        </patternFill>
      </fill>
    </dxf>
    <dxf>
      <fill>
        <patternFill>
          <bgColor theme="6" tint="0.79998168889431442"/>
        </patternFill>
      </fill>
    </dxf>
  </dxfs>
  <tableStyles count="1" defaultTableStyle="TableStyleMedium2" defaultPivotStyle="PivotStyleLight16">
    <tableStyle name="Slicer Style 1" pivot="0" table="0" count="6" xr9:uid="{696FB33E-C1B4-4C5B-89E2-4AC8535409E3}">
      <tableStyleElement type="wholeTable" dxfId="75"/>
      <tableStyleElement type="headerRow" dxfId="74"/>
    </tableStyle>
  </tableStyles>
  <extLst>
    <ext xmlns:x14="http://schemas.microsoft.com/office/spreadsheetml/2009/9/main" uri="{46F421CA-312F-682f-3DD2-61675219B42D}">
      <x14:dxfs count="4">
        <dxf>
          <font>
            <b/>
            <i/>
            <sz val="14"/>
            <color theme="0"/>
          </font>
          <fill>
            <patternFill>
              <bgColor theme="6" tint="0.59996337778862885"/>
            </patternFill>
          </fill>
        </dxf>
        <dxf>
          <font>
            <b/>
            <i/>
            <sz val="14"/>
            <color theme="0"/>
          </font>
          <fill>
            <patternFill>
              <bgColor theme="9" tint="-0.24994659260841701"/>
            </patternFill>
          </fill>
        </dxf>
        <dxf>
          <font>
            <b/>
            <i/>
            <sz val="14"/>
            <color theme="6" tint="-0.499984740745262"/>
          </font>
          <fill>
            <patternFill>
              <bgColor theme="9" tint="0.39994506668294322"/>
            </patternFill>
          </fill>
        </dxf>
        <dxf>
          <font>
            <b/>
            <i/>
            <sz val="14"/>
            <color theme="6" tint="-0.499984740745262"/>
          </font>
          <fill>
            <patternFill>
              <bgColor theme="6"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Report!$B$15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EA-48CC-AC43-88E8DF077E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EA-48CC-AC43-88E8DF077E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EA-48CC-AC43-88E8DF077E70}"/>
              </c:ext>
            </c:extLst>
          </c:dPt>
          <c:cat>
            <c:strRef>
              <c:f>Report!$A$16:$A$19</c:f>
              <c:strCache>
                <c:ptCount val="3"/>
                <c:pt idx="0">
                  <c:v>High</c:v>
                </c:pt>
                <c:pt idx="1">
                  <c:v>Low</c:v>
                </c:pt>
                <c:pt idx="2">
                  <c:v>Medium</c:v>
                </c:pt>
              </c:strCache>
            </c:strRef>
          </c:cat>
          <c:val>
            <c:numRef>
              <c:f>Report!$B$16:$B$19</c:f>
              <c:numCache>
                <c:formatCode>General</c:formatCode>
                <c:ptCount val="3"/>
                <c:pt idx="0">
                  <c:v>408</c:v>
                </c:pt>
                <c:pt idx="1">
                  <c:v>17</c:v>
                </c:pt>
                <c:pt idx="2">
                  <c:v>280</c:v>
                </c:pt>
              </c:numCache>
            </c:numRef>
          </c:val>
          <c:extLst>
            <c:ext xmlns:c16="http://schemas.microsoft.com/office/drawing/2014/chart" uri="{C3380CC4-5D6E-409C-BE32-E72D297353CC}">
              <c16:uniqueId val="{00000000-4CF9-462A-AC9C-5E97BD492F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Report!$F$15</c:f>
              <c:strCache>
                <c:ptCount val="1"/>
                <c:pt idx="0">
                  <c:v>Total</c:v>
                </c:pt>
              </c:strCache>
            </c:strRef>
          </c:tx>
          <c:spPr>
            <a:solidFill>
              <a:schemeClr val="accent1"/>
            </a:solidFill>
            <a:ln>
              <a:noFill/>
            </a:ln>
            <a:effectLst/>
          </c:spPr>
          <c:invertIfNegative val="0"/>
          <c:cat>
            <c:strRef>
              <c:f>Report!$E$16:$E$28</c:f>
              <c:strCache>
                <c:ptCount val="12"/>
                <c:pt idx="0">
                  <c:v>WhatsApp</c:v>
                </c:pt>
                <c:pt idx="1">
                  <c:v>Snapchat</c:v>
                </c:pt>
                <c:pt idx="2">
                  <c:v>TikTok</c:v>
                </c:pt>
                <c:pt idx="3">
                  <c:v>Instagram</c:v>
                </c:pt>
                <c:pt idx="4">
                  <c:v>YouTube</c:v>
                </c:pt>
                <c:pt idx="5">
                  <c:v>WeChat</c:v>
                </c:pt>
                <c:pt idx="6">
                  <c:v>KakaoTalk</c:v>
                </c:pt>
                <c:pt idx="7">
                  <c:v>Facebook</c:v>
                </c:pt>
                <c:pt idx="8">
                  <c:v>Twitter</c:v>
                </c:pt>
                <c:pt idx="9">
                  <c:v>VKontakte</c:v>
                </c:pt>
                <c:pt idx="10">
                  <c:v>LinkedIn</c:v>
                </c:pt>
                <c:pt idx="11">
                  <c:v>LINE</c:v>
                </c:pt>
              </c:strCache>
            </c:strRef>
          </c:cat>
          <c:val>
            <c:numRef>
              <c:f>Report!$F$16:$F$28</c:f>
              <c:numCache>
                <c:formatCode>General</c:formatCode>
                <c:ptCount val="12"/>
                <c:pt idx="0">
                  <c:v>7.4629629629629628</c:v>
                </c:pt>
                <c:pt idx="1">
                  <c:v>7.4615384615384617</c:v>
                </c:pt>
                <c:pt idx="2">
                  <c:v>7.4285714285714288</c:v>
                </c:pt>
                <c:pt idx="3">
                  <c:v>6.5542168674698793</c:v>
                </c:pt>
                <c:pt idx="4">
                  <c:v>6.1</c:v>
                </c:pt>
                <c:pt idx="5">
                  <c:v>6.0666666666666664</c:v>
                </c:pt>
                <c:pt idx="6">
                  <c:v>6</c:v>
                </c:pt>
                <c:pt idx="7">
                  <c:v>5.666666666666667</c:v>
                </c:pt>
                <c:pt idx="8">
                  <c:v>5.5</c:v>
                </c:pt>
                <c:pt idx="9">
                  <c:v>5</c:v>
                </c:pt>
                <c:pt idx="10">
                  <c:v>3.8095238095238093</c:v>
                </c:pt>
                <c:pt idx="11">
                  <c:v>3</c:v>
                </c:pt>
              </c:numCache>
            </c:numRef>
          </c:val>
          <c:extLst>
            <c:ext xmlns:c16="http://schemas.microsoft.com/office/drawing/2014/chart" uri="{C3380CC4-5D6E-409C-BE32-E72D297353CC}">
              <c16:uniqueId val="{00000000-7347-4CA3-8D8C-CFA019F3E610}"/>
            </c:ext>
          </c:extLst>
        </c:ser>
        <c:dLbls>
          <c:showLegendKey val="0"/>
          <c:showVal val="0"/>
          <c:showCatName val="0"/>
          <c:showSerName val="0"/>
          <c:showPercent val="0"/>
          <c:showBubbleSize val="0"/>
        </c:dLbls>
        <c:gapWidth val="219"/>
        <c:overlap val="-27"/>
        <c:axId val="298474240"/>
        <c:axId val="298463680"/>
      </c:barChart>
      <c:catAx>
        <c:axId val="29847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63680"/>
        <c:crosses val="autoZero"/>
        <c:auto val="1"/>
        <c:lblAlgn val="ctr"/>
        <c:lblOffset val="100"/>
        <c:noMultiLvlLbl val="0"/>
      </c:catAx>
      <c:valAx>
        <c:axId val="29846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7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Report!$S$15</c:f>
              <c:strCache>
                <c:ptCount val="1"/>
                <c:pt idx="0">
                  <c:v>Total</c:v>
                </c:pt>
              </c:strCache>
            </c:strRef>
          </c:tx>
          <c:spPr>
            <a:solidFill>
              <a:schemeClr val="accent1"/>
            </a:solidFill>
            <a:ln>
              <a:noFill/>
            </a:ln>
            <a:effectLst/>
          </c:spPr>
          <c:invertIfNegative val="0"/>
          <c:cat>
            <c:strRef>
              <c:f>Report!$R$16:$R$19</c:f>
              <c:strCache>
                <c:ptCount val="3"/>
                <c:pt idx="0">
                  <c:v>Graduate</c:v>
                </c:pt>
                <c:pt idx="1">
                  <c:v>High School</c:v>
                </c:pt>
                <c:pt idx="2">
                  <c:v>Undergraduate</c:v>
                </c:pt>
              </c:strCache>
            </c:strRef>
          </c:cat>
          <c:val>
            <c:numRef>
              <c:f>Report!$S$16:$S$19</c:f>
              <c:numCache>
                <c:formatCode>General</c:formatCode>
                <c:ptCount val="3"/>
                <c:pt idx="0">
                  <c:v>6.3723076923076922</c:v>
                </c:pt>
                <c:pt idx="1">
                  <c:v>5.1111111111111107</c:v>
                </c:pt>
                <c:pt idx="2">
                  <c:v>6.1784702549575075</c:v>
                </c:pt>
              </c:numCache>
            </c:numRef>
          </c:val>
          <c:extLst>
            <c:ext xmlns:c16="http://schemas.microsoft.com/office/drawing/2014/chart" uri="{C3380CC4-5D6E-409C-BE32-E72D297353CC}">
              <c16:uniqueId val="{00000000-F896-47B0-AE17-8A2DE6B16E3F}"/>
            </c:ext>
          </c:extLst>
        </c:ser>
        <c:dLbls>
          <c:showLegendKey val="0"/>
          <c:showVal val="0"/>
          <c:showCatName val="0"/>
          <c:showSerName val="0"/>
          <c:showPercent val="0"/>
          <c:showBubbleSize val="0"/>
        </c:dLbls>
        <c:gapWidth val="182"/>
        <c:axId val="298476160"/>
        <c:axId val="298467040"/>
      </c:barChart>
      <c:catAx>
        <c:axId val="29847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67040"/>
        <c:crosses val="autoZero"/>
        <c:auto val="1"/>
        <c:lblAlgn val="ctr"/>
        <c:lblOffset val="100"/>
        <c:noMultiLvlLbl val="0"/>
      </c:catAx>
      <c:valAx>
        <c:axId val="298467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7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Report!$R$16:$R$19</c:f>
              <c:strCache>
                <c:ptCount val="3"/>
                <c:pt idx="0">
                  <c:v>Graduate</c:v>
                </c:pt>
                <c:pt idx="1">
                  <c:v>High School</c:v>
                </c:pt>
                <c:pt idx="2">
                  <c:v>Undergraduate</c:v>
                </c:pt>
              </c:strCache>
            </c:strRef>
          </c:cat>
          <c:val>
            <c:numRef>
              <c:f>Report!$S$16:$S$19</c:f>
              <c:numCache>
                <c:formatCode>General</c:formatCode>
                <c:ptCount val="3"/>
                <c:pt idx="0">
                  <c:v>6.3723076923076922</c:v>
                </c:pt>
                <c:pt idx="1">
                  <c:v>5.1111111111111107</c:v>
                </c:pt>
                <c:pt idx="2">
                  <c:v>6.1784702549575075</c:v>
                </c:pt>
              </c:numCache>
            </c:numRef>
          </c:val>
          <c:smooth val="0"/>
          <c:extLst>
            <c:ext xmlns:c16="http://schemas.microsoft.com/office/drawing/2014/chart" uri="{C3380CC4-5D6E-409C-BE32-E72D297353CC}">
              <c16:uniqueId val="{00000000-B533-4D5F-9E7A-9049B66408EA}"/>
            </c:ext>
          </c:extLst>
        </c:ser>
        <c:dLbls>
          <c:showLegendKey val="0"/>
          <c:showVal val="0"/>
          <c:showCatName val="0"/>
          <c:showSerName val="0"/>
          <c:showPercent val="0"/>
          <c:showBubbleSize val="0"/>
        </c:dLbls>
        <c:marker val="1"/>
        <c:smooth val="0"/>
        <c:axId val="298470400"/>
        <c:axId val="298473760"/>
      </c:lineChart>
      <c:catAx>
        <c:axId val="2984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73760"/>
        <c:crosses val="autoZero"/>
        <c:auto val="1"/>
        <c:lblAlgn val="ctr"/>
        <c:lblOffset val="100"/>
        <c:noMultiLvlLbl val="0"/>
      </c:catAx>
      <c:valAx>
        <c:axId val="29847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Report!$W$15</c:f>
              <c:strCache>
                <c:ptCount val="1"/>
                <c:pt idx="0">
                  <c:v>Total</c:v>
                </c:pt>
              </c:strCache>
            </c:strRef>
          </c:tx>
          <c:spPr>
            <a:solidFill>
              <a:schemeClr val="accent1"/>
            </a:solidFill>
            <a:ln>
              <a:noFill/>
            </a:ln>
            <a:effectLst/>
          </c:spPr>
          <c:invertIfNegative val="0"/>
          <c:cat>
            <c:strRef>
              <c:f>Report!$V$16:$V$19</c:f>
              <c:strCache>
                <c:ptCount val="3"/>
                <c:pt idx="0">
                  <c:v>Graduate</c:v>
                </c:pt>
                <c:pt idx="1">
                  <c:v>High School</c:v>
                </c:pt>
                <c:pt idx="2">
                  <c:v>Undergraduate</c:v>
                </c:pt>
              </c:strCache>
            </c:strRef>
          </c:cat>
          <c:val>
            <c:numRef>
              <c:f>Report!$W$16:$W$19</c:f>
              <c:numCache>
                <c:formatCode>General</c:formatCode>
                <c:ptCount val="3"/>
                <c:pt idx="0">
                  <c:v>6.2430769230769227</c:v>
                </c:pt>
                <c:pt idx="1">
                  <c:v>8.0370370370370363</c:v>
                </c:pt>
                <c:pt idx="2">
                  <c:v>6.4929178470254953</c:v>
                </c:pt>
              </c:numCache>
            </c:numRef>
          </c:val>
          <c:extLst>
            <c:ext xmlns:c16="http://schemas.microsoft.com/office/drawing/2014/chart" uri="{C3380CC4-5D6E-409C-BE32-E72D297353CC}">
              <c16:uniqueId val="{00000000-A5F6-4ED6-A6C2-A0045B70037D}"/>
            </c:ext>
          </c:extLst>
        </c:ser>
        <c:dLbls>
          <c:showLegendKey val="0"/>
          <c:showVal val="0"/>
          <c:showCatName val="0"/>
          <c:showSerName val="0"/>
          <c:showPercent val="0"/>
          <c:showBubbleSize val="0"/>
        </c:dLbls>
        <c:gapWidth val="219"/>
        <c:overlap val="-27"/>
        <c:axId val="298478560"/>
        <c:axId val="298462720"/>
      </c:barChart>
      <c:catAx>
        <c:axId val="29847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62720"/>
        <c:crosses val="autoZero"/>
        <c:auto val="1"/>
        <c:lblAlgn val="ctr"/>
        <c:lblOffset val="100"/>
        <c:noMultiLvlLbl val="0"/>
      </c:catAx>
      <c:valAx>
        <c:axId val="29846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7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Report!$J$15</c:f>
              <c:strCache>
                <c:ptCount val="1"/>
                <c:pt idx="0">
                  <c:v>Count of Student_ID</c:v>
                </c:pt>
              </c:strCache>
            </c:strRef>
          </c:tx>
          <c:spPr>
            <a:solidFill>
              <a:schemeClr val="accent1"/>
            </a:solidFill>
            <a:ln>
              <a:noFill/>
            </a:ln>
            <a:effectLst/>
          </c:spPr>
          <c:invertIfNegative val="0"/>
          <c:cat>
            <c:strRef>
              <c:f>Report!$I$16:$I$18</c:f>
              <c:strCache>
                <c:ptCount val="2"/>
                <c:pt idx="0">
                  <c:v>Yes</c:v>
                </c:pt>
                <c:pt idx="1">
                  <c:v>No</c:v>
                </c:pt>
              </c:strCache>
            </c:strRef>
          </c:cat>
          <c:val>
            <c:numRef>
              <c:f>Report!$J$16:$J$18</c:f>
              <c:numCache>
                <c:formatCode>General</c:formatCode>
                <c:ptCount val="2"/>
                <c:pt idx="0">
                  <c:v>453</c:v>
                </c:pt>
                <c:pt idx="1">
                  <c:v>252</c:v>
                </c:pt>
              </c:numCache>
            </c:numRef>
          </c:val>
          <c:extLst>
            <c:ext xmlns:c16="http://schemas.microsoft.com/office/drawing/2014/chart" uri="{C3380CC4-5D6E-409C-BE32-E72D297353CC}">
              <c16:uniqueId val="{00000000-45E6-428A-8B83-C64D950E3BFF}"/>
            </c:ext>
          </c:extLst>
        </c:ser>
        <c:ser>
          <c:idx val="1"/>
          <c:order val="1"/>
          <c:tx>
            <c:strRef>
              <c:f>Report!$K$15</c:f>
              <c:strCache>
                <c:ptCount val="1"/>
                <c:pt idx="0">
                  <c:v>Average of Addicted_Score</c:v>
                </c:pt>
              </c:strCache>
            </c:strRef>
          </c:tx>
          <c:spPr>
            <a:solidFill>
              <a:schemeClr val="accent2"/>
            </a:solidFill>
            <a:ln>
              <a:noFill/>
            </a:ln>
            <a:effectLst/>
          </c:spPr>
          <c:invertIfNegative val="0"/>
          <c:cat>
            <c:strRef>
              <c:f>Report!$I$16:$I$18</c:f>
              <c:strCache>
                <c:ptCount val="2"/>
                <c:pt idx="0">
                  <c:v>Yes</c:v>
                </c:pt>
                <c:pt idx="1">
                  <c:v>No</c:v>
                </c:pt>
              </c:strCache>
            </c:strRef>
          </c:cat>
          <c:val>
            <c:numRef>
              <c:f>Report!$K$16:$K$18</c:f>
              <c:numCache>
                <c:formatCode>General</c:formatCode>
                <c:ptCount val="2"/>
                <c:pt idx="0">
                  <c:v>7.4613686534216335</c:v>
                </c:pt>
                <c:pt idx="1">
                  <c:v>4.5952380952380949</c:v>
                </c:pt>
              </c:numCache>
            </c:numRef>
          </c:val>
          <c:extLst>
            <c:ext xmlns:c16="http://schemas.microsoft.com/office/drawing/2014/chart" uri="{C3380CC4-5D6E-409C-BE32-E72D297353CC}">
              <c16:uniqueId val="{00000001-45E6-428A-8B83-C64D950E3BFF}"/>
            </c:ext>
          </c:extLst>
        </c:ser>
        <c:dLbls>
          <c:showLegendKey val="0"/>
          <c:showVal val="0"/>
          <c:showCatName val="0"/>
          <c:showSerName val="0"/>
          <c:showPercent val="0"/>
          <c:showBubbleSize val="0"/>
        </c:dLbls>
        <c:gapWidth val="219"/>
        <c:overlap val="-27"/>
        <c:axId val="298483360"/>
        <c:axId val="298481440"/>
      </c:barChart>
      <c:catAx>
        <c:axId val="2984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81440"/>
        <c:crosses val="autoZero"/>
        <c:auto val="1"/>
        <c:lblAlgn val="ctr"/>
        <c:lblOffset val="100"/>
        <c:noMultiLvlLbl val="0"/>
      </c:catAx>
      <c:valAx>
        <c:axId val="29848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(1).xlsx]Report!PivotTable1</c:name>
    <c:fmtId val="3"/>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IN" sz="2000">
                <a:solidFill>
                  <a:srgbClr val="FFFF00"/>
                </a:solidFill>
              </a:rPr>
              <a:t>Adiction level Distribution</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Report!$B$15</c:f>
              <c:strCache>
                <c:ptCount val="1"/>
                <c:pt idx="0">
                  <c:v>Total</c:v>
                </c:pt>
              </c:strCache>
            </c:strRef>
          </c:tx>
          <c:dPt>
            <c:idx val="0"/>
            <c:bubble3D val="0"/>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21-44DE-AFE3-C8304CB9BE49}"/>
              </c:ext>
            </c:extLst>
          </c:dPt>
          <c:dPt>
            <c:idx val="1"/>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21-44DE-AFE3-C8304CB9BE49}"/>
              </c:ext>
            </c:extLst>
          </c:dPt>
          <c:dPt>
            <c:idx val="2"/>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21-44DE-AFE3-C8304CB9BE4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21-44DE-AFE3-C8304CB9BE4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21-44DE-AFE3-C8304CB9BE49}"/>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21-44DE-AFE3-C8304CB9BE4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Report!$A$16:$A$19</c:f>
              <c:strCache>
                <c:ptCount val="3"/>
                <c:pt idx="0">
                  <c:v>High</c:v>
                </c:pt>
                <c:pt idx="1">
                  <c:v>Low</c:v>
                </c:pt>
                <c:pt idx="2">
                  <c:v>Medium</c:v>
                </c:pt>
              </c:strCache>
            </c:strRef>
          </c:cat>
          <c:val>
            <c:numRef>
              <c:f>Report!$B$16:$B$19</c:f>
              <c:numCache>
                <c:formatCode>General</c:formatCode>
                <c:ptCount val="3"/>
                <c:pt idx="0">
                  <c:v>408</c:v>
                </c:pt>
                <c:pt idx="1">
                  <c:v>17</c:v>
                </c:pt>
                <c:pt idx="2">
                  <c:v>280</c:v>
                </c:pt>
              </c:numCache>
            </c:numRef>
          </c:val>
          <c:extLst>
            <c:ext xmlns:c16="http://schemas.microsoft.com/office/drawing/2014/chart" uri="{C3380CC4-5D6E-409C-BE32-E72D297353CC}">
              <c16:uniqueId val="{00000006-D021-44DE-AFE3-C8304CB9BE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(1).xlsx]Report!PivotTable2</c:name>
    <c:fmtId val="3"/>
  </c:pivotSource>
  <c:chart>
    <c:title>
      <c:tx>
        <c:rich>
          <a:bodyPr rot="0" spcFirstLastPara="1" vertOverflow="ellipsis" vert="horz" wrap="square" anchor="ctr" anchorCtr="1"/>
          <a:lstStyle/>
          <a:p>
            <a:pPr>
              <a:defRPr lang="en-US" sz="1080" b="0" i="0" u="none" strike="noStrike" kern="1200" spc="0" baseline="0">
                <a:solidFill>
                  <a:srgbClr val="FFFF00"/>
                </a:solidFill>
                <a:latin typeface="+mn-lt"/>
                <a:ea typeface="+mn-ea"/>
                <a:cs typeface="+mn-cs"/>
              </a:defRPr>
            </a:pPr>
            <a:r>
              <a:rPr lang="en-US" sz="1800" b="1">
                <a:solidFill>
                  <a:srgbClr val="FFFF00"/>
                </a:solidFill>
              </a:rPr>
              <a:t>Platform vs Avg Addiction Score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Report!$F$15</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invertIfNegative val="0"/>
          <c:cat>
            <c:strRef>
              <c:f>Report!$E$16:$E$28</c:f>
              <c:strCache>
                <c:ptCount val="12"/>
                <c:pt idx="0">
                  <c:v>WhatsApp</c:v>
                </c:pt>
                <c:pt idx="1">
                  <c:v>Snapchat</c:v>
                </c:pt>
                <c:pt idx="2">
                  <c:v>TikTok</c:v>
                </c:pt>
                <c:pt idx="3">
                  <c:v>Instagram</c:v>
                </c:pt>
                <c:pt idx="4">
                  <c:v>YouTube</c:v>
                </c:pt>
                <c:pt idx="5">
                  <c:v>WeChat</c:v>
                </c:pt>
                <c:pt idx="6">
                  <c:v>KakaoTalk</c:v>
                </c:pt>
                <c:pt idx="7">
                  <c:v>Facebook</c:v>
                </c:pt>
                <c:pt idx="8">
                  <c:v>Twitter</c:v>
                </c:pt>
                <c:pt idx="9">
                  <c:v>VKontakte</c:v>
                </c:pt>
                <c:pt idx="10">
                  <c:v>LinkedIn</c:v>
                </c:pt>
                <c:pt idx="11">
                  <c:v>LINE</c:v>
                </c:pt>
              </c:strCache>
            </c:strRef>
          </c:cat>
          <c:val>
            <c:numRef>
              <c:f>Report!$F$16:$F$28</c:f>
              <c:numCache>
                <c:formatCode>General</c:formatCode>
                <c:ptCount val="12"/>
                <c:pt idx="0">
                  <c:v>7.4629629629629628</c:v>
                </c:pt>
                <c:pt idx="1">
                  <c:v>7.4615384615384617</c:v>
                </c:pt>
                <c:pt idx="2">
                  <c:v>7.4285714285714288</c:v>
                </c:pt>
                <c:pt idx="3">
                  <c:v>6.5542168674698793</c:v>
                </c:pt>
                <c:pt idx="4">
                  <c:v>6.1</c:v>
                </c:pt>
                <c:pt idx="5">
                  <c:v>6.0666666666666664</c:v>
                </c:pt>
                <c:pt idx="6">
                  <c:v>6</c:v>
                </c:pt>
                <c:pt idx="7">
                  <c:v>5.666666666666667</c:v>
                </c:pt>
                <c:pt idx="8">
                  <c:v>5.5</c:v>
                </c:pt>
                <c:pt idx="9">
                  <c:v>5</c:v>
                </c:pt>
                <c:pt idx="10">
                  <c:v>3.8095238095238093</c:v>
                </c:pt>
                <c:pt idx="11">
                  <c:v>3</c:v>
                </c:pt>
              </c:numCache>
            </c:numRef>
          </c:val>
          <c:extLst>
            <c:ext xmlns:c16="http://schemas.microsoft.com/office/drawing/2014/chart" uri="{C3380CC4-5D6E-409C-BE32-E72D297353CC}">
              <c16:uniqueId val="{00000000-2E2B-4C75-A5B8-C8C3001C761F}"/>
            </c:ext>
          </c:extLst>
        </c:ser>
        <c:dLbls>
          <c:showLegendKey val="0"/>
          <c:showVal val="0"/>
          <c:showCatName val="0"/>
          <c:showSerName val="0"/>
          <c:showPercent val="0"/>
          <c:showBubbleSize val="0"/>
        </c:dLbls>
        <c:gapWidth val="219"/>
        <c:overlap val="-27"/>
        <c:axId val="298474240"/>
        <c:axId val="298463680"/>
      </c:barChart>
      <c:catAx>
        <c:axId val="29847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FFFF00"/>
                </a:solidFill>
                <a:latin typeface="+mn-lt"/>
                <a:ea typeface="+mn-ea"/>
                <a:cs typeface="+mn-cs"/>
              </a:defRPr>
            </a:pPr>
            <a:endParaRPr lang="en-US"/>
          </a:p>
        </c:txPr>
        <c:crossAx val="298463680"/>
        <c:crosses val="autoZero"/>
        <c:auto val="1"/>
        <c:lblAlgn val="ctr"/>
        <c:lblOffset val="100"/>
        <c:noMultiLvlLbl val="0"/>
      </c:catAx>
      <c:valAx>
        <c:axId val="29846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FFFF00"/>
                </a:solidFill>
                <a:latin typeface="+mn-lt"/>
                <a:ea typeface="+mn-ea"/>
                <a:cs typeface="+mn-cs"/>
              </a:defRPr>
            </a:pPr>
            <a:endParaRPr lang="en-US"/>
          </a:p>
        </c:txPr>
        <c:crossAx val="29847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(1).xlsx]Report!PivotTable3</c:name>
    <c:fmtId val="5"/>
  </c:pivotSource>
  <c:chart>
    <c:title>
      <c:tx>
        <c:rich>
          <a:bodyPr rot="0" spcFirstLastPara="1" vertOverflow="ellipsis" vert="horz" wrap="square" anchor="ctr" anchorCtr="1"/>
          <a:lstStyle/>
          <a:p>
            <a:pPr algn="ctr" rtl="0">
              <a:defRPr lang="en-IN" sz="1800" b="1" i="0" u="none" strike="noStrike" kern="1200" spc="0" baseline="0">
                <a:solidFill>
                  <a:srgbClr val="FFFF00"/>
                </a:solidFill>
                <a:latin typeface="+mn-lt"/>
                <a:ea typeface="+mn-ea"/>
                <a:cs typeface="+mn-cs"/>
              </a:defRPr>
            </a:pPr>
            <a:r>
              <a:rPr lang="en-IN" sz="1800" b="1" i="0" u="none" strike="noStrike" kern="1200" spc="0" baseline="0">
                <a:solidFill>
                  <a:srgbClr val="FFFF00"/>
                </a:solidFill>
                <a:latin typeface="+mn-lt"/>
                <a:ea typeface="+mn-ea"/>
                <a:cs typeface="+mn-cs"/>
              </a:rPr>
              <a:t>Academic Impact Analysis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Report!$J$15</c:f>
              <c:strCache>
                <c:ptCount val="1"/>
                <c:pt idx="0">
                  <c:v>Count of Student_ID</c:v>
                </c:pt>
              </c:strCache>
            </c:strRef>
          </c:tx>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Report!$I$16:$I$18</c:f>
              <c:strCache>
                <c:ptCount val="2"/>
                <c:pt idx="0">
                  <c:v>Yes</c:v>
                </c:pt>
                <c:pt idx="1">
                  <c:v>No</c:v>
                </c:pt>
              </c:strCache>
            </c:strRef>
          </c:cat>
          <c:val>
            <c:numRef>
              <c:f>Report!$J$16:$J$18</c:f>
              <c:numCache>
                <c:formatCode>General</c:formatCode>
                <c:ptCount val="2"/>
                <c:pt idx="0">
                  <c:v>453</c:v>
                </c:pt>
                <c:pt idx="1">
                  <c:v>252</c:v>
                </c:pt>
              </c:numCache>
            </c:numRef>
          </c:val>
          <c:extLst>
            <c:ext xmlns:c16="http://schemas.microsoft.com/office/drawing/2014/chart" uri="{C3380CC4-5D6E-409C-BE32-E72D297353CC}">
              <c16:uniqueId val="{00000000-7706-4233-B5BC-893876793521}"/>
            </c:ext>
          </c:extLst>
        </c:ser>
        <c:ser>
          <c:idx val="1"/>
          <c:order val="1"/>
          <c:tx>
            <c:strRef>
              <c:f>Report!$K$15</c:f>
              <c:strCache>
                <c:ptCount val="1"/>
                <c:pt idx="0">
                  <c:v>Average of Addicted_Score</c:v>
                </c:pt>
              </c:strCache>
            </c:strRef>
          </c:tx>
          <c:spPr>
            <a:solidFill>
              <a:schemeClr val="accent2"/>
            </a:solidFill>
            <a:ln>
              <a:noFill/>
            </a:ln>
            <a:effectLst/>
          </c:spPr>
          <c:invertIfNegative val="0"/>
          <c:cat>
            <c:strRef>
              <c:f>Report!$I$16:$I$18</c:f>
              <c:strCache>
                <c:ptCount val="2"/>
                <c:pt idx="0">
                  <c:v>Yes</c:v>
                </c:pt>
                <c:pt idx="1">
                  <c:v>No</c:v>
                </c:pt>
              </c:strCache>
            </c:strRef>
          </c:cat>
          <c:val>
            <c:numRef>
              <c:f>Report!$K$16:$K$18</c:f>
              <c:numCache>
                <c:formatCode>General</c:formatCode>
                <c:ptCount val="2"/>
                <c:pt idx="0">
                  <c:v>7.4613686534216335</c:v>
                </c:pt>
                <c:pt idx="1">
                  <c:v>4.5952380952380949</c:v>
                </c:pt>
              </c:numCache>
            </c:numRef>
          </c:val>
          <c:extLst>
            <c:ext xmlns:c16="http://schemas.microsoft.com/office/drawing/2014/chart" uri="{C3380CC4-5D6E-409C-BE32-E72D297353CC}">
              <c16:uniqueId val="{00000001-7706-4233-B5BC-893876793521}"/>
            </c:ext>
          </c:extLst>
        </c:ser>
        <c:dLbls>
          <c:showLegendKey val="0"/>
          <c:showVal val="0"/>
          <c:showCatName val="0"/>
          <c:showSerName val="0"/>
          <c:showPercent val="0"/>
          <c:showBubbleSize val="0"/>
        </c:dLbls>
        <c:gapWidth val="219"/>
        <c:overlap val="-27"/>
        <c:axId val="298483360"/>
        <c:axId val="298481440"/>
      </c:barChart>
      <c:catAx>
        <c:axId val="2984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FF00"/>
                </a:solidFill>
                <a:latin typeface="+mn-lt"/>
                <a:ea typeface="+mn-ea"/>
                <a:cs typeface="+mn-cs"/>
              </a:defRPr>
            </a:pPr>
            <a:endParaRPr lang="en-US"/>
          </a:p>
        </c:txPr>
        <c:crossAx val="298481440"/>
        <c:crosses val="autoZero"/>
        <c:auto val="1"/>
        <c:lblAlgn val="ctr"/>
        <c:lblOffset val="100"/>
        <c:noMultiLvlLbl val="0"/>
      </c:catAx>
      <c:valAx>
        <c:axId val="29848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100" b="1" i="0" u="none" strike="noStrike" kern="1200" spc="0" baseline="0">
                <a:solidFill>
                  <a:srgbClr val="FFFF00"/>
                </a:solidFill>
                <a:latin typeface="+mn-lt"/>
                <a:ea typeface="+mn-ea"/>
                <a:cs typeface="+mn-cs"/>
              </a:defRPr>
            </a:pPr>
            <a:endParaRPr lang="en-US"/>
          </a:p>
        </c:txPr>
        <c:crossAx val="2984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(1).xlsx]Report!PivotTable5</c:name>
    <c:fmtId val="7"/>
  </c:pivotSource>
  <c:chart>
    <c:title>
      <c:tx>
        <c:rich>
          <a:bodyPr rot="0" spcFirstLastPara="1" vertOverflow="ellipsis" vert="horz" wrap="square" anchor="ctr" anchorCtr="1"/>
          <a:lstStyle/>
          <a:p>
            <a:pPr algn="ctr" rtl="0">
              <a:defRPr lang="en-US" sz="2000" b="1" i="0" u="none" strike="noStrike" kern="1200" spc="0" baseline="0">
                <a:solidFill>
                  <a:srgbClr val="FFFF00"/>
                </a:solidFill>
                <a:latin typeface="+mn-lt"/>
                <a:ea typeface="+mn-ea"/>
                <a:cs typeface="+mn-cs"/>
              </a:defRPr>
            </a:pPr>
            <a:r>
              <a:rPr lang="en-US" sz="2000" b="1" i="0" u="none" strike="noStrike" kern="1200" baseline="0">
                <a:solidFill>
                  <a:srgbClr val="FFFF00"/>
                </a:solidFill>
                <a:latin typeface="+mn-lt"/>
                <a:ea typeface="+mn-ea"/>
                <a:cs typeface="+mn-cs"/>
              </a:rPr>
              <a:t>Usage Category vs Sleep</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Report!$S$15</c:f>
              <c:strCache>
                <c:ptCount val="1"/>
                <c:pt idx="0">
                  <c:v>Total</c:v>
                </c:pt>
              </c:strCache>
            </c:strRef>
          </c:tx>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Report!$R$16:$R$19</c:f>
              <c:strCache>
                <c:ptCount val="3"/>
                <c:pt idx="0">
                  <c:v>Graduate</c:v>
                </c:pt>
                <c:pt idx="1">
                  <c:v>High School</c:v>
                </c:pt>
                <c:pt idx="2">
                  <c:v>Undergraduate</c:v>
                </c:pt>
              </c:strCache>
            </c:strRef>
          </c:cat>
          <c:val>
            <c:numRef>
              <c:f>Report!$S$16:$S$19</c:f>
              <c:numCache>
                <c:formatCode>General</c:formatCode>
                <c:ptCount val="3"/>
                <c:pt idx="0">
                  <c:v>6.3723076923076922</c:v>
                </c:pt>
                <c:pt idx="1">
                  <c:v>5.1111111111111107</c:v>
                </c:pt>
                <c:pt idx="2">
                  <c:v>6.1784702549575075</c:v>
                </c:pt>
              </c:numCache>
            </c:numRef>
          </c:val>
          <c:extLst>
            <c:ext xmlns:c16="http://schemas.microsoft.com/office/drawing/2014/chart" uri="{C3380CC4-5D6E-409C-BE32-E72D297353CC}">
              <c16:uniqueId val="{00000000-0F04-477F-80C9-34C06EE0198C}"/>
            </c:ext>
          </c:extLst>
        </c:ser>
        <c:dLbls>
          <c:showLegendKey val="0"/>
          <c:showVal val="0"/>
          <c:showCatName val="0"/>
          <c:showSerName val="0"/>
          <c:showPercent val="0"/>
          <c:showBubbleSize val="0"/>
        </c:dLbls>
        <c:gapWidth val="182"/>
        <c:axId val="298476160"/>
        <c:axId val="298467040"/>
      </c:barChart>
      <c:catAx>
        <c:axId val="29847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98467040"/>
        <c:crosses val="autoZero"/>
        <c:auto val="1"/>
        <c:lblAlgn val="ctr"/>
        <c:lblOffset val="100"/>
        <c:noMultiLvlLbl val="0"/>
      </c:catAx>
      <c:valAx>
        <c:axId val="2984670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FFFF00"/>
                </a:solidFill>
                <a:latin typeface="+mn-lt"/>
                <a:ea typeface="+mn-ea"/>
                <a:cs typeface="+mn-cs"/>
              </a:defRPr>
            </a:pPr>
            <a:endParaRPr lang="en-US"/>
          </a:p>
        </c:txPr>
        <c:crossAx val="29847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(1).xlsx]Report!PivotTable5</c:name>
    <c:fmtId val="9"/>
  </c:pivotSource>
  <c:chart>
    <c:title>
      <c:tx>
        <c:rich>
          <a:bodyPr rot="0" spcFirstLastPara="1" vertOverflow="ellipsis" vert="horz" wrap="square" anchor="ctr" anchorCtr="1"/>
          <a:lstStyle/>
          <a:p>
            <a:pPr algn="ctr" rtl="0">
              <a:defRPr lang="en-US" sz="2000" b="1" i="0" u="none" strike="noStrike" kern="1200" spc="0" baseline="0">
                <a:solidFill>
                  <a:srgbClr val="FFFF00"/>
                </a:solidFill>
                <a:latin typeface="+mn-lt"/>
                <a:ea typeface="+mn-ea"/>
                <a:cs typeface="+mn-cs"/>
              </a:defRPr>
            </a:pPr>
            <a:r>
              <a:rPr lang="en-US" sz="2000" b="1" i="0" u="none" strike="noStrike" kern="1200" spc="0" baseline="0">
                <a:solidFill>
                  <a:srgbClr val="FFFF00"/>
                </a:solidFill>
                <a:latin typeface="+mn-lt"/>
                <a:ea typeface="+mn-ea"/>
                <a:cs typeface="+mn-cs"/>
              </a:rPr>
              <a:t>Academic Level vs Mental Health</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Report!$S$15</c:f>
              <c:strCache>
                <c:ptCount val="1"/>
                <c:pt idx="0">
                  <c:v>Total</c:v>
                </c:pt>
              </c:strCache>
            </c:strRef>
          </c:tx>
          <c:spPr>
            <a:ln w="28575" cap="rnd">
              <a:solidFill>
                <a:srgbClr val="FFFF00"/>
              </a:solidFill>
              <a:round/>
            </a:ln>
            <a:effectLst/>
          </c:spPr>
          <c:marker>
            <c:symbol val="circle"/>
            <c:size val="5"/>
            <c:spPr>
              <a:solidFill>
                <a:schemeClr val="accent1"/>
              </a:solidFill>
              <a:ln w="9525">
                <a:solidFill>
                  <a:schemeClr val="accent1"/>
                </a:solidFill>
              </a:ln>
              <a:effectLst/>
            </c:spPr>
          </c:marker>
          <c:cat>
            <c:strRef>
              <c:f>Report!$R$16:$R$19</c:f>
              <c:strCache>
                <c:ptCount val="3"/>
                <c:pt idx="0">
                  <c:v>Graduate</c:v>
                </c:pt>
                <c:pt idx="1">
                  <c:v>High School</c:v>
                </c:pt>
                <c:pt idx="2">
                  <c:v>Undergraduate</c:v>
                </c:pt>
              </c:strCache>
            </c:strRef>
          </c:cat>
          <c:val>
            <c:numRef>
              <c:f>Report!$S$16:$S$19</c:f>
              <c:numCache>
                <c:formatCode>General</c:formatCode>
                <c:ptCount val="3"/>
                <c:pt idx="0">
                  <c:v>6.3723076923076922</c:v>
                </c:pt>
                <c:pt idx="1">
                  <c:v>5.1111111111111107</c:v>
                </c:pt>
                <c:pt idx="2">
                  <c:v>6.1784702549575075</c:v>
                </c:pt>
              </c:numCache>
            </c:numRef>
          </c:val>
          <c:smooth val="0"/>
          <c:extLst>
            <c:ext xmlns:c16="http://schemas.microsoft.com/office/drawing/2014/chart" uri="{C3380CC4-5D6E-409C-BE32-E72D297353CC}">
              <c16:uniqueId val="{00000000-DEE6-49C5-B365-71C8EC115D15}"/>
            </c:ext>
          </c:extLst>
        </c:ser>
        <c:dLbls>
          <c:showLegendKey val="0"/>
          <c:showVal val="0"/>
          <c:showCatName val="0"/>
          <c:showSerName val="0"/>
          <c:showPercent val="0"/>
          <c:showBubbleSize val="0"/>
        </c:dLbls>
        <c:marker val="1"/>
        <c:smooth val="0"/>
        <c:axId val="298470400"/>
        <c:axId val="298473760"/>
      </c:lineChart>
      <c:catAx>
        <c:axId val="2984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98473760"/>
        <c:crosses val="autoZero"/>
        <c:auto val="1"/>
        <c:lblAlgn val="ctr"/>
        <c:lblOffset val="100"/>
        <c:noMultiLvlLbl val="0"/>
      </c:catAx>
      <c:valAx>
        <c:axId val="29847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9847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Social Media Addiction (1).xlsx]Report!PivotTable6</c:name>
    <c:fmtId val="3"/>
  </c:pivotSource>
  <c:chart>
    <c:title>
      <c:tx>
        <c:rich>
          <a:bodyPr rot="0" spcFirstLastPara="1" vertOverflow="ellipsis" vert="horz" wrap="square" anchor="ctr" anchorCtr="1"/>
          <a:lstStyle/>
          <a:p>
            <a:pPr algn="ctr" rtl="0">
              <a:defRPr lang="en-US" sz="2000" b="1" i="0" u="none" strike="noStrike" kern="1200" spc="0" baseline="0">
                <a:solidFill>
                  <a:srgbClr val="FFFF00"/>
                </a:solidFill>
                <a:latin typeface="+mn-lt"/>
                <a:ea typeface="+mn-ea"/>
                <a:cs typeface="+mn-cs"/>
              </a:defRPr>
            </a:pPr>
            <a:r>
              <a:rPr lang="en-US" sz="2000" b="1" i="0" u="none" strike="noStrike" kern="1200" spc="0" baseline="0">
                <a:solidFill>
                  <a:srgbClr val="FFFF00"/>
                </a:solidFill>
                <a:latin typeface="+mn-lt"/>
                <a:ea typeface="+mn-ea"/>
                <a:cs typeface="+mn-cs"/>
              </a:rPr>
              <a:t>Academic Level vs Addiction</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Report!$W$15</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Report!$V$16:$V$19</c:f>
              <c:strCache>
                <c:ptCount val="3"/>
                <c:pt idx="0">
                  <c:v>Graduate</c:v>
                </c:pt>
                <c:pt idx="1">
                  <c:v>High School</c:v>
                </c:pt>
                <c:pt idx="2">
                  <c:v>Undergraduate</c:v>
                </c:pt>
              </c:strCache>
            </c:strRef>
          </c:cat>
          <c:val>
            <c:numRef>
              <c:f>Report!$W$16:$W$19</c:f>
              <c:numCache>
                <c:formatCode>General</c:formatCode>
                <c:ptCount val="3"/>
                <c:pt idx="0">
                  <c:v>6.2430769230769227</c:v>
                </c:pt>
                <c:pt idx="1">
                  <c:v>8.0370370370370363</c:v>
                </c:pt>
                <c:pt idx="2">
                  <c:v>6.4929178470254953</c:v>
                </c:pt>
              </c:numCache>
            </c:numRef>
          </c:val>
          <c:extLst>
            <c:ext xmlns:c16="http://schemas.microsoft.com/office/drawing/2014/chart" uri="{C3380CC4-5D6E-409C-BE32-E72D297353CC}">
              <c16:uniqueId val="{00000000-0AC9-42A0-AE54-55D4F01FE0FA}"/>
            </c:ext>
          </c:extLst>
        </c:ser>
        <c:dLbls>
          <c:showLegendKey val="0"/>
          <c:showVal val="0"/>
          <c:showCatName val="0"/>
          <c:showSerName val="0"/>
          <c:showPercent val="0"/>
          <c:showBubbleSize val="0"/>
        </c:dLbls>
        <c:gapWidth val="219"/>
        <c:overlap val="-27"/>
        <c:axId val="298478560"/>
        <c:axId val="298462720"/>
      </c:barChart>
      <c:catAx>
        <c:axId val="29847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98462720"/>
        <c:crosses val="autoZero"/>
        <c:auto val="1"/>
        <c:lblAlgn val="ctr"/>
        <c:lblOffset val="100"/>
        <c:noMultiLvlLbl val="0"/>
      </c:catAx>
      <c:valAx>
        <c:axId val="29846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crossAx val="29847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jpeg"/><Relationship Id="rId7" Type="http://schemas.openxmlformats.org/officeDocument/2006/relationships/chart" Target="../charts/chart9.xml"/><Relationship Id="rId12" Type="http://schemas.openxmlformats.org/officeDocument/2006/relationships/hyperlink" Target="#Report!A1"/><Relationship Id="rId2" Type="http://schemas.openxmlformats.org/officeDocument/2006/relationships/hyperlink" Target="https://socialcovid.commons.gc.cuny.edu/negative-emotions-and-social-media-during-covid-19/" TargetMode="Externa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hyperlink" Target="#'Students Social Media Addiction'!A1"/><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hyperlink" Target="https://www.inkl.com/news/landmark-social-media-addiction-trial-begins-in-california-what-it-means-for-big-tech" TargetMode="Externa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9525</xdr:rowOff>
    </xdr:from>
    <xdr:to>
      <xdr:col>2</xdr:col>
      <xdr:colOff>1121833</xdr:colOff>
      <xdr:row>49</xdr:row>
      <xdr:rowOff>53975</xdr:rowOff>
    </xdr:to>
    <xdr:graphicFrame macro="">
      <xdr:nvGraphicFramePr>
        <xdr:cNvPr id="2" name="Chart 1">
          <a:extLst>
            <a:ext uri="{FF2B5EF4-FFF2-40B4-BE49-F238E27FC236}">
              <a16:creationId xmlns:a16="http://schemas.microsoft.com/office/drawing/2014/main" id="{9AEF371B-4644-90D7-CB41-C3BB491AE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1588477</xdr:colOff>
      <xdr:row>35</xdr:row>
      <xdr:rowOff>134814</xdr:rowOff>
    </xdr:from>
    <xdr:to>
      <xdr:col>6</xdr:col>
      <xdr:colOff>146539</xdr:colOff>
      <xdr:row>50</xdr:row>
      <xdr:rowOff>64476</xdr:rowOff>
    </xdr:to>
    <xdr:graphicFrame macro="">
      <xdr:nvGraphicFramePr>
        <xdr:cNvPr id="3" name="Chart 2">
          <a:extLst>
            <a:ext uri="{FF2B5EF4-FFF2-40B4-BE49-F238E27FC236}">
              <a16:creationId xmlns:a16="http://schemas.microsoft.com/office/drawing/2014/main" id="{5CA919DB-A5E8-97EC-A1D3-7BD28D45E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23446</xdr:colOff>
      <xdr:row>36</xdr:row>
      <xdr:rowOff>64477</xdr:rowOff>
    </xdr:from>
    <xdr:to>
      <xdr:col>15</xdr:col>
      <xdr:colOff>222737</xdr:colOff>
      <xdr:row>50</xdr:row>
      <xdr:rowOff>181708</xdr:rowOff>
    </xdr:to>
    <xdr:graphicFrame macro="">
      <xdr:nvGraphicFramePr>
        <xdr:cNvPr id="4" name="Chart 3">
          <a:extLst>
            <a:ext uri="{FF2B5EF4-FFF2-40B4-BE49-F238E27FC236}">
              <a16:creationId xmlns:a16="http://schemas.microsoft.com/office/drawing/2014/main" id="{6BEF6FA4-72C9-E991-8FEE-0FE2BC670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550985</xdr:colOff>
      <xdr:row>36</xdr:row>
      <xdr:rowOff>99646</xdr:rowOff>
    </xdr:from>
    <xdr:to>
      <xdr:col>19</xdr:col>
      <xdr:colOff>363415</xdr:colOff>
      <xdr:row>51</xdr:row>
      <xdr:rowOff>29308</xdr:rowOff>
    </xdr:to>
    <xdr:graphicFrame macro="">
      <xdr:nvGraphicFramePr>
        <xdr:cNvPr id="5" name="Chart 4">
          <a:extLst>
            <a:ext uri="{FF2B5EF4-FFF2-40B4-BE49-F238E27FC236}">
              <a16:creationId xmlns:a16="http://schemas.microsoft.com/office/drawing/2014/main" id="{5635EBAD-1F44-7F16-C74A-22A7B6927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527539</xdr:colOff>
      <xdr:row>35</xdr:row>
      <xdr:rowOff>158262</xdr:rowOff>
    </xdr:from>
    <xdr:to>
      <xdr:col>23</xdr:col>
      <xdr:colOff>527541</xdr:colOff>
      <xdr:row>50</xdr:row>
      <xdr:rowOff>87924</xdr:rowOff>
    </xdr:to>
    <xdr:graphicFrame macro="">
      <xdr:nvGraphicFramePr>
        <xdr:cNvPr id="6" name="Chart 5">
          <a:extLst>
            <a:ext uri="{FF2B5EF4-FFF2-40B4-BE49-F238E27FC236}">
              <a16:creationId xmlns:a16="http://schemas.microsoft.com/office/drawing/2014/main" id="{5ADA4ACD-97B5-D960-5DDC-4DC34E2B9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2016370</xdr:colOff>
      <xdr:row>34</xdr:row>
      <xdr:rowOff>181707</xdr:rowOff>
    </xdr:from>
    <xdr:to>
      <xdr:col>11</xdr:col>
      <xdr:colOff>345831</xdr:colOff>
      <xdr:row>49</xdr:row>
      <xdr:rowOff>111368</xdr:rowOff>
    </xdr:to>
    <xdr:graphicFrame macro="">
      <xdr:nvGraphicFramePr>
        <xdr:cNvPr id="8" name="Chart 7">
          <a:extLst>
            <a:ext uri="{FF2B5EF4-FFF2-40B4-BE49-F238E27FC236}">
              <a16:creationId xmlns:a16="http://schemas.microsoft.com/office/drawing/2014/main" id="{E4D8265C-148B-E6DF-A34E-1971CCE72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98368</xdr:colOff>
      <xdr:row>53</xdr:row>
      <xdr:rowOff>74814</xdr:rowOff>
    </xdr:from>
    <xdr:to>
      <xdr:col>5</xdr:col>
      <xdr:colOff>969226</xdr:colOff>
      <xdr:row>67</xdr:row>
      <xdr:rowOff>134562</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F35F2C0-1774-8DF6-605D-628FD77D61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397" y="10427128"/>
              <a:ext cx="1828800" cy="265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2051858</xdr:colOff>
      <xdr:row>52</xdr:row>
      <xdr:rowOff>108757</xdr:rowOff>
    </xdr:from>
    <xdr:to>
      <xdr:col>9</xdr:col>
      <xdr:colOff>748542</xdr:colOff>
      <xdr:row>66</xdr:row>
      <xdr:rowOff>168505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8DEC9D70-9CE8-0D33-2810-AB3AC896D7B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49744" y="10276014"/>
              <a:ext cx="1831769" cy="265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403167</xdr:colOff>
      <xdr:row>51</xdr:row>
      <xdr:rowOff>144088</xdr:rowOff>
    </xdr:from>
    <xdr:to>
      <xdr:col>2</xdr:col>
      <xdr:colOff>13260</xdr:colOff>
      <xdr:row>66</xdr:row>
      <xdr:rowOff>23726</xdr:rowOff>
    </xdr:to>
    <mc:AlternateContent xmlns:mc="http://schemas.openxmlformats.org/markup-compatibility/2006" xmlns:a14="http://schemas.microsoft.com/office/drawing/2010/main">
      <mc:Choice Requires="a14">
        <xdr:graphicFrame macro="">
          <xdr:nvGraphicFramePr>
            <xdr:cNvPr id="10" name="Academic_Level">
              <a:extLst>
                <a:ext uri="{FF2B5EF4-FFF2-40B4-BE49-F238E27FC236}">
                  <a16:creationId xmlns:a16="http://schemas.microsoft.com/office/drawing/2014/main" id="{3D7FD380-2672-CC65-8CD1-56F3D902E776}"/>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403167" y="10126288"/>
              <a:ext cx="1830779" cy="265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597131</xdr:colOff>
      <xdr:row>54</xdr:row>
      <xdr:rowOff>19396</xdr:rowOff>
    </xdr:from>
    <xdr:to>
      <xdr:col>18</xdr:col>
      <xdr:colOff>855419</xdr:colOff>
      <xdr:row>68</xdr:row>
      <xdr:rowOff>79144</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E05BECB5-D8A2-EA8E-61CA-EBD6D760EE4A}"/>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21846045" y="10556767"/>
              <a:ext cx="1825831" cy="265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29095</xdr:colOff>
      <xdr:row>53</xdr:row>
      <xdr:rowOff>60959</xdr:rowOff>
    </xdr:from>
    <xdr:to>
      <xdr:col>14</xdr:col>
      <xdr:colOff>896984</xdr:colOff>
      <xdr:row>67</xdr:row>
      <xdr:rowOff>120707</xdr:rowOff>
    </xdr:to>
    <mc:AlternateContent xmlns:mc="http://schemas.openxmlformats.org/markup-compatibility/2006" xmlns:a14="http://schemas.microsoft.com/office/drawing/2010/main">
      <mc:Choice Requires="a14">
        <xdr:graphicFrame macro="">
          <xdr:nvGraphicFramePr>
            <xdr:cNvPr id="13" name="Most_Used_Platform">
              <a:extLst>
                <a:ext uri="{FF2B5EF4-FFF2-40B4-BE49-F238E27FC236}">
                  <a16:creationId xmlns:a16="http://schemas.microsoft.com/office/drawing/2014/main" id="{3997B8B1-1620-9F58-03DC-F395B52E3181}"/>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17598638" y="10413273"/>
              <a:ext cx="1825832" cy="265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48846</xdr:colOff>
      <xdr:row>0</xdr:row>
      <xdr:rowOff>110480</xdr:rowOff>
    </xdr:from>
    <xdr:to>
      <xdr:col>28</xdr:col>
      <xdr:colOff>486996</xdr:colOff>
      <xdr:row>47</xdr:row>
      <xdr:rowOff>176223</xdr:rowOff>
    </xdr:to>
    <xdr:sp macro="" textlink="">
      <xdr:nvSpPr>
        <xdr:cNvPr id="2" name="Rectangle: Diagonal Corners Rounded 1">
          <a:extLst>
            <a:ext uri="{FF2B5EF4-FFF2-40B4-BE49-F238E27FC236}">
              <a16:creationId xmlns:a16="http://schemas.microsoft.com/office/drawing/2014/main" id="{42E835CD-1DE5-12C8-D661-4B5BE8E69A3B}"/>
            </a:ext>
          </a:extLst>
        </xdr:cNvPr>
        <xdr:cNvSpPr/>
      </xdr:nvSpPr>
      <xdr:spPr>
        <a:xfrm>
          <a:off x="48846" y="110480"/>
          <a:ext cx="17506950" cy="8763429"/>
        </a:xfrm>
        <a:prstGeom prst="round2DiagRect">
          <a:avLst>
            <a:gd name="adj1" fmla="val 5512"/>
            <a:gd name="adj2" fmla="val 0"/>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276469</xdr:colOff>
      <xdr:row>0</xdr:row>
      <xdr:rowOff>136769</xdr:rowOff>
    </xdr:from>
    <xdr:to>
      <xdr:col>23</xdr:col>
      <xdr:colOff>571744</xdr:colOff>
      <xdr:row>6</xdr:row>
      <xdr:rowOff>48846</xdr:rowOff>
    </xdr:to>
    <xdr:sp macro="" textlink="">
      <xdr:nvSpPr>
        <xdr:cNvPr id="3" name="Rectangle: Rounded Corners 2">
          <a:extLst>
            <a:ext uri="{FF2B5EF4-FFF2-40B4-BE49-F238E27FC236}">
              <a16:creationId xmlns:a16="http://schemas.microsoft.com/office/drawing/2014/main" id="{0D3289B2-B0BE-6A8C-D3EC-F917CF9CE131}"/>
            </a:ext>
          </a:extLst>
        </xdr:cNvPr>
        <xdr:cNvSpPr/>
      </xdr:nvSpPr>
      <xdr:spPr>
        <a:xfrm>
          <a:off x="2714869" y="136769"/>
          <a:ext cx="11877675" cy="102242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136771</xdr:colOff>
      <xdr:row>0</xdr:row>
      <xdr:rowOff>146540</xdr:rowOff>
    </xdr:from>
    <xdr:to>
      <xdr:col>28</xdr:col>
      <xdr:colOff>341923</xdr:colOff>
      <xdr:row>6</xdr:row>
      <xdr:rowOff>29308</xdr:rowOff>
    </xdr:to>
    <xdr:pic>
      <xdr:nvPicPr>
        <xdr:cNvPr id="10" name="Picture 9">
          <a:extLst>
            <a:ext uri="{FF2B5EF4-FFF2-40B4-BE49-F238E27FC236}">
              <a16:creationId xmlns:a16="http://schemas.microsoft.com/office/drawing/2014/main" id="{915A4FD1-497D-7A0B-0193-74623A64B1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4673386" y="146540"/>
          <a:ext cx="2627922" cy="996460"/>
        </a:xfrm>
        <a:prstGeom prst="rect">
          <a:avLst/>
        </a:prstGeom>
      </xdr:spPr>
    </xdr:pic>
    <xdr:clientData/>
  </xdr:twoCellAnchor>
  <xdr:twoCellAnchor editAs="oneCell">
    <xdr:from>
      <xdr:col>0</xdr:col>
      <xdr:colOff>380999</xdr:colOff>
      <xdr:row>0</xdr:row>
      <xdr:rowOff>166077</xdr:rowOff>
    </xdr:from>
    <xdr:to>
      <xdr:col>4</xdr:col>
      <xdr:colOff>78154</xdr:colOff>
      <xdr:row>6</xdr:row>
      <xdr:rowOff>9771</xdr:rowOff>
    </xdr:to>
    <xdr:pic>
      <xdr:nvPicPr>
        <xdr:cNvPr id="13" name="Picture 12">
          <a:extLst>
            <a:ext uri="{FF2B5EF4-FFF2-40B4-BE49-F238E27FC236}">
              <a16:creationId xmlns:a16="http://schemas.microsoft.com/office/drawing/2014/main" id="{5F0E20FC-296E-B326-CA87-EE8CADC1D3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380999" y="166077"/>
          <a:ext cx="2119924" cy="957386"/>
        </a:xfrm>
        <a:prstGeom prst="rect">
          <a:avLst/>
        </a:prstGeom>
      </xdr:spPr>
    </xdr:pic>
    <xdr:clientData/>
  </xdr:twoCellAnchor>
  <xdr:twoCellAnchor>
    <xdr:from>
      <xdr:col>0</xdr:col>
      <xdr:colOff>292100</xdr:colOff>
      <xdr:row>7</xdr:row>
      <xdr:rowOff>74386</xdr:rowOff>
    </xdr:from>
    <xdr:to>
      <xdr:col>3</xdr:col>
      <xdr:colOff>584200</xdr:colOff>
      <xdr:row>14</xdr:row>
      <xdr:rowOff>48986</xdr:rowOff>
    </xdr:to>
    <xdr:sp macro="" textlink="">
      <xdr:nvSpPr>
        <xdr:cNvPr id="14" name="Rectangle: Rounded Corners 13">
          <a:extLst>
            <a:ext uri="{FF2B5EF4-FFF2-40B4-BE49-F238E27FC236}">
              <a16:creationId xmlns:a16="http://schemas.microsoft.com/office/drawing/2014/main" id="{03B91563-0A11-0878-AD2A-6221DA6D14E1}"/>
            </a:ext>
          </a:extLst>
        </xdr:cNvPr>
        <xdr:cNvSpPr/>
      </xdr:nvSpPr>
      <xdr:spPr>
        <a:xfrm>
          <a:off x="292100" y="1344386"/>
          <a:ext cx="2115457" cy="12446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177800</xdr:colOff>
      <xdr:row>7</xdr:row>
      <xdr:rowOff>63500</xdr:rowOff>
    </xdr:from>
    <xdr:to>
      <xdr:col>7</xdr:col>
      <xdr:colOff>469900</xdr:colOff>
      <xdr:row>14</xdr:row>
      <xdr:rowOff>38100</xdr:rowOff>
    </xdr:to>
    <xdr:sp macro="" textlink="">
      <xdr:nvSpPr>
        <xdr:cNvPr id="15" name="Rectangle: Rounded Corners 14">
          <a:extLst>
            <a:ext uri="{FF2B5EF4-FFF2-40B4-BE49-F238E27FC236}">
              <a16:creationId xmlns:a16="http://schemas.microsoft.com/office/drawing/2014/main" id="{B9C40EF3-6646-4DEE-8124-15D4DB44C3F7}"/>
            </a:ext>
          </a:extLst>
        </xdr:cNvPr>
        <xdr:cNvSpPr/>
      </xdr:nvSpPr>
      <xdr:spPr>
        <a:xfrm>
          <a:off x="2616200" y="1308100"/>
          <a:ext cx="2120900" cy="12192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139700</xdr:colOff>
      <xdr:row>7</xdr:row>
      <xdr:rowOff>101600</xdr:rowOff>
    </xdr:from>
    <xdr:to>
      <xdr:col>11</xdr:col>
      <xdr:colOff>431800</xdr:colOff>
      <xdr:row>14</xdr:row>
      <xdr:rowOff>76200</xdr:rowOff>
    </xdr:to>
    <xdr:sp macro="" textlink="">
      <xdr:nvSpPr>
        <xdr:cNvPr id="16" name="Rectangle: Rounded Corners 15">
          <a:extLst>
            <a:ext uri="{FF2B5EF4-FFF2-40B4-BE49-F238E27FC236}">
              <a16:creationId xmlns:a16="http://schemas.microsoft.com/office/drawing/2014/main" id="{D113976A-E751-4E11-891F-8EB7084D0704}"/>
            </a:ext>
          </a:extLst>
        </xdr:cNvPr>
        <xdr:cNvSpPr/>
      </xdr:nvSpPr>
      <xdr:spPr>
        <a:xfrm>
          <a:off x="5016500" y="1346200"/>
          <a:ext cx="2120900" cy="12192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241300</xdr:colOff>
      <xdr:row>7</xdr:row>
      <xdr:rowOff>114300</xdr:rowOff>
    </xdr:from>
    <xdr:to>
      <xdr:col>15</xdr:col>
      <xdr:colOff>533400</xdr:colOff>
      <xdr:row>14</xdr:row>
      <xdr:rowOff>88900</xdr:rowOff>
    </xdr:to>
    <xdr:sp macro="" textlink="">
      <xdr:nvSpPr>
        <xdr:cNvPr id="17" name="Rectangle: Rounded Corners 16">
          <a:extLst>
            <a:ext uri="{FF2B5EF4-FFF2-40B4-BE49-F238E27FC236}">
              <a16:creationId xmlns:a16="http://schemas.microsoft.com/office/drawing/2014/main" id="{1DA9581C-45D5-431B-8923-C5C3296EEED4}"/>
            </a:ext>
          </a:extLst>
        </xdr:cNvPr>
        <xdr:cNvSpPr/>
      </xdr:nvSpPr>
      <xdr:spPr>
        <a:xfrm>
          <a:off x="7556500" y="1358900"/>
          <a:ext cx="2120900" cy="12192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292100</xdr:colOff>
      <xdr:row>7</xdr:row>
      <xdr:rowOff>139700</xdr:rowOff>
    </xdr:from>
    <xdr:to>
      <xdr:col>19</xdr:col>
      <xdr:colOff>584200</xdr:colOff>
      <xdr:row>14</xdr:row>
      <xdr:rowOff>114300</xdr:rowOff>
    </xdr:to>
    <xdr:sp macro="" textlink="">
      <xdr:nvSpPr>
        <xdr:cNvPr id="18" name="Rectangle: Rounded Corners 17">
          <a:extLst>
            <a:ext uri="{FF2B5EF4-FFF2-40B4-BE49-F238E27FC236}">
              <a16:creationId xmlns:a16="http://schemas.microsoft.com/office/drawing/2014/main" id="{8FEF16D1-6FA7-450B-BA5A-32CFF9BBE410}"/>
            </a:ext>
          </a:extLst>
        </xdr:cNvPr>
        <xdr:cNvSpPr/>
      </xdr:nvSpPr>
      <xdr:spPr>
        <a:xfrm>
          <a:off x="10045700" y="1384300"/>
          <a:ext cx="2120900" cy="12192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292100</xdr:colOff>
      <xdr:row>7</xdr:row>
      <xdr:rowOff>114300</xdr:rowOff>
    </xdr:from>
    <xdr:to>
      <xdr:col>23</xdr:col>
      <xdr:colOff>584200</xdr:colOff>
      <xdr:row>14</xdr:row>
      <xdr:rowOff>88900</xdr:rowOff>
    </xdr:to>
    <xdr:sp macro="" textlink="">
      <xdr:nvSpPr>
        <xdr:cNvPr id="19" name="Rectangle: Rounded Corners 18">
          <a:extLst>
            <a:ext uri="{FF2B5EF4-FFF2-40B4-BE49-F238E27FC236}">
              <a16:creationId xmlns:a16="http://schemas.microsoft.com/office/drawing/2014/main" id="{B4E16DC3-A906-41B9-9E26-42B41AC123B9}"/>
            </a:ext>
          </a:extLst>
        </xdr:cNvPr>
        <xdr:cNvSpPr/>
      </xdr:nvSpPr>
      <xdr:spPr>
        <a:xfrm>
          <a:off x="12484100" y="1358900"/>
          <a:ext cx="2120900" cy="12192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408215</xdr:colOff>
      <xdr:row>8</xdr:row>
      <xdr:rowOff>0</xdr:rowOff>
    </xdr:from>
    <xdr:to>
      <xdr:col>3</xdr:col>
      <xdr:colOff>381001</xdr:colOff>
      <xdr:row>10</xdr:row>
      <xdr:rowOff>108857</xdr:rowOff>
    </xdr:to>
    <xdr:sp macro="" textlink="">
      <xdr:nvSpPr>
        <xdr:cNvPr id="20" name="TextBox 19">
          <a:extLst>
            <a:ext uri="{FF2B5EF4-FFF2-40B4-BE49-F238E27FC236}">
              <a16:creationId xmlns:a16="http://schemas.microsoft.com/office/drawing/2014/main" id="{FE4F0925-DD37-1086-9DFE-4A285C8B07FB}"/>
            </a:ext>
          </a:extLst>
        </xdr:cNvPr>
        <xdr:cNvSpPr txBox="1"/>
      </xdr:nvSpPr>
      <xdr:spPr>
        <a:xfrm>
          <a:off x="408215" y="1451429"/>
          <a:ext cx="1796143" cy="471714"/>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3">
                  <a:lumMod val="50000"/>
                </a:schemeClr>
              </a:solidFill>
            </a:rPr>
            <a:t>Total Students</a:t>
          </a:r>
        </a:p>
      </xdr:txBody>
    </xdr:sp>
    <xdr:clientData/>
  </xdr:twoCellAnchor>
  <xdr:twoCellAnchor>
    <xdr:from>
      <xdr:col>4</xdr:col>
      <xdr:colOff>228601</xdr:colOff>
      <xdr:row>7</xdr:row>
      <xdr:rowOff>87085</xdr:rowOff>
    </xdr:from>
    <xdr:to>
      <xdr:col>7</xdr:col>
      <xdr:colOff>379187</xdr:colOff>
      <xdr:row>11</xdr:row>
      <xdr:rowOff>119742</xdr:rowOff>
    </xdr:to>
    <xdr:sp macro="" textlink="">
      <xdr:nvSpPr>
        <xdr:cNvPr id="21" name="TextBox 20">
          <a:extLst>
            <a:ext uri="{FF2B5EF4-FFF2-40B4-BE49-F238E27FC236}">
              <a16:creationId xmlns:a16="http://schemas.microsoft.com/office/drawing/2014/main" id="{E6B5BD8A-7BDF-4E72-8B38-E1A34D5F0F20}"/>
            </a:ext>
          </a:extLst>
        </xdr:cNvPr>
        <xdr:cNvSpPr txBox="1"/>
      </xdr:nvSpPr>
      <xdr:spPr>
        <a:xfrm>
          <a:off x="2667001" y="1382485"/>
          <a:ext cx="1979386" cy="772886"/>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3">
                  <a:lumMod val="50000"/>
                </a:schemeClr>
              </a:solidFill>
            </a:rPr>
            <a:t>Avg_Daily_Usage_Hours</a:t>
          </a:r>
        </a:p>
      </xdr:txBody>
    </xdr:sp>
    <xdr:clientData/>
  </xdr:twoCellAnchor>
  <xdr:twoCellAnchor>
    <xdr:from>
      <xdr:col>8</xdr:col>
      <xdr:colOff>205722</xdr:colOff>
      <xdr:row>6</xdr:row>
      <xdr:rowOff>176696</xdr:rowOff>
    </xdr:from>
    <xdr:to>
      <xdr:col>11</xdr:col>
      <xdr:colOff>375477</xdr:colOff>
      <xdr:row>11</xdr:row>
      <xdr:rowOff>121479</xdr:rowOff>
    </xdr:to>
    <xdr:sp macro="" textlink="">
      <xdr:nvSpPr>
        <xdr:cNvPr id="22" name="TextBox 21">
          <a:extLst>
            <a:ext uri="{FF2B5EF4-FFF2-40B4-BE49-F238E27FC236}">
              <a16:creationId xmlns:a16="http://schemas.microsoft.com/office/drawing/2014/main" id="{58C14C02-CED7-4DD3-BC56-D71A44EC03CB}"/>
            </a:ext>
          </a:extLst>
        </xdr:cNvPr>
        <xdr:cNvSpPr txBox="1"/>
      </xdr:nvSpPr>
      <xdr:spPr>
        <a:xfrm>
          <a:off x="5064852" y="1303131"/>
          <a:ext cx="1991929" cy="883478"/>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3">
                  <a:lumMod val="50000"/>
                </a:schemeClr>
              </a:solidFill>
            </a:rPr>
            <a:t>Avg Addiction_Score</a:t>
          </a:r>
        </a:p>
      </xdr:txBody>
    </xdr:sp>
    <xdr:clientData/>
  </xdr:twoCellAnchor>
  <xdr:twoCellAnchor>
    <xdr:from>
      <xdr:col>12</xdr:col>
      <xdr:colOff>290285</xdr:colOff>
      <xdr:row>7</xdr:row>
      <xdr:rowOff>143326</xdr:rowOff>
    </xdr:from>
    <xdr:to>
      <xdr:col>15</xdr:col>
      <xdr:colOff>435427</xdr:colOff>
      <xdr:row>11</xdr:row>
      <xdr:rowOff>181428</xdr:rowOff>
    </xdr:to>
    <xdr:sp macro="" textlink="">
      <xdr:nvSpPr>
        <xdr:cNvPr id="23" name="TextBox 22">
          <a:extLst>
            <a:ext uri="{FF2B5EF4-FFF2-40B4-BE49-F238E27FC236}">
              <a16:creationId xmlns:a16="http://schemas.microsoft.com/office/drawing/2014/main" id="{B611F5C4-9378-4ADB-B8A6-C263A9BBD79E}"/>
            </a:ext>
          </a:extLst>
        </xdr:cNvPr>
        <xdr:cNvSpPr txBox="1"/>
      </xdr:nvSpPr>
      <xdr:spPr>
        <a:xfrm>
          <a:off x="7583714" y="1413326"/>
          <a:ext cx="1968499" cy="763816"/>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3">
                  <a:lumMod val="50000"/>
                </a:schemeClr>
              </a:solidFill>
            </a:rPr>
            <a:t>% Academic Impact</a:t>
          </a:r>
        </a:p>
      </xdr:txBody>
    </xdr:sp>
    <xdr:clientData/>
  </xdr:twoCellAnchor>
  <xdr:twoCellAnchor>
    <xdr:from>
      <xdr:col>16</xdr:col>
      <xdr:colOff>424544</xdr:colOff>
      <xdr:row>8</xdr:row>
      <xdr:rowOff>68942</xdr:rowOff>
    </xdr:from>
    <xdr:to>
      <xdr:col>19</xdr:col>
      <xdr:colOff>397329</xdr:colOff>
      <xdr:row>10</xdr:row>
      <xdr:rowOff>177799</xdr:rowOff>
    </xdr:to>
    <xdr:sp macro="" textlink="">
      <xdr:nvSpPr>
        <xdr:cNvPr id="24" name="TextBox 23">
          <a:extLst>
            <a:ext uri="{FF2B5EF4-FFF2-40B4-BE49-F238E27FC236}">
              <a16:creationId xmlns:a16="http://schemas.microsoft.com/office/drawing/2014/main" id="{48B40B07-B3FF-492B-8669-000C297A93A5}"/>
            </a:ext>
          </a:extLst>
        </xdr:cNvPr>
        <xdr:cNvSpPr txBox="1"/>
      </xdr:nvSpPr>
      <xdr:spPr>
        <a:xfrm>
          <a:off x="10149115" y="1520371"/>
          <a:ext cx="1796143" cy="471714"/>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3">
                  <a:lumMod val="50000"/>
                </a:schemeClr>
              </a:solidFill>
            </a:rPr>
            <a:t>Avg Sleep</a:t>
          </a:r>
        </a:p>
      </xdr:txBody>
    </xdr:sp>
    <xdr:clientData/>
  </xdr:twoCellAnchor>
  <xdr:twoCellAnchor>
    <xdr:from>
      <xdr:col>20</xdr:col>
      <xdr:colOff>449945</xdr:colOff>
      <xdr:row>7</xdr:row>
      <xdr:rowOff>139700</xdr:rowOff>
    </xdr:from>
    <xdr:to>
      <xdr:col>23</xdr:col>
      <xdr:colOff>422731</xdr:colOff>
      <xdr:row>11</xdr:row>
      <xdr:rowOff>163286</xdr:rowOff>
    </xdr:to>
    <xdr:sp macro="" textlink="">
      <xdr:nvSpPr>
        <xdr:cNvPr id="25" name="TextBox 24">
          <a:extLst>
            <a:ext uri="{FF2B5EF4-FFF2-40B4-BE49-F238E27FC236}">
              <a16:creationId xmlns:a16="http://schemas.microsoft.com/office/drawing/2014/main" id="{E46E484D-7260-48F8-91D9-01380059F3BB}"/>
            </a:ext>
          </a:extLst>
        </xdr:cNvPr>
        <xdr:cNvSpPr txBox="1"/>
      </xdr:nvSpPr>
      <xdr:spPr>
        <a:xfrm>
          <a:off x="12605659" y="1409700"/>
          <a:ext cx="1796143" cy="7493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3">
                  <a:lumMod val="50000"/>
                </a:schemeClr>
              </a:solidFill>
            </a:rPr>
            <a:t>Avg Mental Health</a:t>
          </a:r>
        </a:p>
      </xdr:txBody>
    </xdr:sp>
    <xdr:clientData/>
  </xdr:twoCellAnchor>
  <xdr:twoCellAnchor>
    <xdr:from>
      <xdr:col>0</xdr:col>
      <xdr:colOff>462642</xdr:colOff>
      <xdr:row>10</xdr:row>
      <xdr:rowOff>45357</xdr:rowOff>
    </xdr:from>
    <xdr:to>
      <xdr:col>3</xdr:col>
      <xdr:colOff>290285</xdr:colOff>
      <xdr:row>12</xdr:row>
      <xdr:rowOff>172358</xdr:rowOff>
    </xdr:to>
    <xdr:sp macro="" textlink="Report!B7">
      <xdr:nvSpPr>
        <xdr:cNvPr id="26" name="TextBox 25">
          <a:extLst>
            <a:ext uri="{FF2B5EF4-FFF2-40B4-BE49-F238E27FC236}">
              <a16:creationId xmlns:a16="http://schemas.microsoft.com/office/drawing/2014/main" id="{5D6F33C8-7E90-D73F-80B1-13EF6D69BD83}"/>
            </a:ext>
          </a:extLst>
        </xdr:cNvPr>
        <xdr:cNvSpPr txBox="1"/>
      </xdr:nvSpPr>
      <xdr:spPr>
        <a:xfrm>
          <a:off x="462642" y="1859643"/>
          <a:ext cx="1651000" cy="48985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8870BD-58C8-4AE4-8B5F-9B455BC344AA}" type="TxLink">
            <a:rPr lang="en-US" sz="3200" b="1" i="0" u="none" strike="noStrike" cap="none" spc="0">
              <a:ln w="22225">
                <a:solidFill>
                  <a:schemeClr val="accent2"/>
                </a:solidFill>
                <a:prstDash val="solid"/>
              </a:ln>
              <a:solidFill>
                <a:schemeClr val="accent2">
                  <a:lumMod val="40000"/>
                  <a:lumOff val="60000"/>
                </a:schemeClr>
              </a:solidFill>
              <a:effectLst/>
              <a:latin typeface="Aptos Narrow"/>
            </a:rPr>
            <a:pPr algn="ctr"/>
            <a:t>705</a:t>
          </a:fld>
          <a:endParaRPr lang="en-IN" sz="32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4</xdr:col>
      <xdr:colOff>379185</xdr:colOff>
      <xdr:row>11</xdr:row>
      <xdr:rowOff>12699</xdr:rowOff>
    </xdr:from>
    <xdr:to>
      <xdr:col>7</xdr:col>
      <xdr:colOff>206828</xdr:colOff>
      <xdr:row>13</xdr:row>
      <xdr:rowOff>143330</xdr:rowOff>
    </xdr:to>
    <xdr:sp macro="" textlink="Report!C7">
      <xdr:nvSpPr>
        <xdr:cNvPr id="27" name="TextBox 26">
          <a:extLst>
            <a:ext uri="{FF2B5EF4-FFF2-40B4-BE49-F238E27FC236}">
              <a16:creationId xmlns:a16="http://schemas.microsoft.com/office/drawing/2014/main" id="{70BA3E76-AB55-4D25-B15D-F95FF4FA0849}"/>
            </a:ext>
          </a:extLst>
        </xdr:cNvPr>
        <xdr:cNvSpPr txBox="1"/>
      </xdr:nvSpPr>
      <xdr:spPr>
        <a:xfrm>
          <a:off x="2817585" y="2048328"/>
          <a:ext cx="1656443" cy="500745"/>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D7A7E6-A85C-4E84-8881-1E76CE93F145}" type="TxLink">
            <a:rPr lang="en-US"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rPr>
            <a:pPr marL="0" indent="0" algn="ctr"/>
            <a:t>4.92</a:t>
          </a:fld>
          <a:endParaRPr lang="en-IN"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endParaRPr>
        </a:p>
      </xdr:txBody>
    </xdr:sp>
    <xdr:clientData/>
  </xdr:twoCellAnchor>
  <xdr:twoCellAnchor>
    <xdr:from>
      <xdr:col>8</xdr:col>
      <xdr:colOff>370272</xdr:colOff>
      <xdr:row>11</xdr:row>
      <xdr:rowOff>48041</xdr:rowOff>
    </xdr:from>
    <xdr:to>
      <xdr:col>11</xdr:col>
      <xdr:colOff>197915</xdr:colOff>
      <xdr:row>13</xdr:row>
      <xdr:rowOff>181353</xdr:rowOff>
    </xdr:to>
    <xdr:sp macro="" textlink="Report!D7">
      <xdr:nvSpPr>
        <xdr:cNvPr id="28" name="TextBox 27">
          <a:extLst>
            <a:ext uri="{FF2B5EF4-FFF2-40B4-BE49-F238E27FC236}">
              <a16:creationId xmlns:a16="http://schemas.microsoft.com/office/drawing/2014/main" id="{73E55D4D-6886-479D-9CBC-6A9EFFB81827}"/>
            </a:ext>
          </a:extLst>
        </xdr:cNvPr>
        <xdr:cNvSpPr txBox="1"/>
      </xdr:nvSpPr>
      <xdr:spPr>
        <a:xfrm>
          <a:off x="5229402" y="2113171"/>
          <a:ext cx="1649817" cy="508791"/>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096AE0-2AEA-41F7-B614-091CCA61F57E}" type="TxLink">
            <a:rPr lang="en-US"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rPr>
            <a:pPr marL="0" indent="0" algn="ctr"/>
            <a:t>6.44</a:t>
          </a:fld>
          <a:endParaRPr lang="en-IN"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endParaRPr>
        </a:p>
      </xdr:txBody>
    </xdr:sp>
    <xdr:clientData/>
  </xdr:twoCellAnchor>
  <xdr:twoCellAnchor>
    <xdr:from>
      <xdr:col>12</xdr:col>
      <xdr:colOff>439056</xdr:colOff>
      <xdr:row>11</xdr:row>
      <xdr:rowOff>85272</xdr:rowOff>
    </xdr:from>
    <xdr:to>
      <xdr:col>15</xdr:col>
      <xdr:colOff>266699</xdr:colOff>
      <xdr:row>14</xdr:row>
      <xdr:rowOff>30844</xdr:rowOff>
    </xdr:to>
    <xdr:sp macro="" textlink="Report!F7">
      <xdr:nvSpPr>
        <xdr:cNvPr id="4" name="TextBox 3">
          <a:extLst>
            <a:ext uri="{FF2B5EF4-FFF2-40B4-BE49-F238E27FC236}">
              <a16:creationId xmlns:a16="http://schemas.microsoft.com/office/drawing/2014/main" id="{D82EB02F-4C2C-4502-A186-B3AB60D0EDB3}"/>
            </a:ext>
          </a:extLst>
        </xdr:cNvPr>
        <xdr:cNvSpPr txBox="1"/>
      </xdr:nvSpPr>
      <xdr:spPr>
        <a:xfrm>
          <a:off x="7732485" y="2080986"/>
          <a:ext cx="1651000" cy="48985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80DAFC-2330-4BBA-9AA4-52E3A976B4EE}" type="TxLink">
            <a:rPr lang="en-US"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rPr>
            <a:pPr marL="0" indent="0" algn="ctr"/>
            <a:t>0.64</a:t>
          </a:fld>
          <a:endParaRPr lang="en-IN"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endParaRPr>
        </a:p>
      </xdr:txBody>
    </xdr:sp>
    <xdr:clientData/>
  </xdr:twoCellAnchor>
  <xdr:twoCellAnchor>
    <xdr:from>
      <xdr:col>16</xdr:col>
      <xdr:colOff>491672</xdr:colOff>
      <xdr:row>11</xdr:row>
      <xdr:rowOff>56243</xdr:rowOff>
    </xdr:from>
    <xdr:to>
      <xdr:col>19</xdr:col>
      <xdr:colOff>319314</xdr:colOff>
      <xdr:row>14</xdr:row>
      <xdr:rowOff>1815</xdr:rowOff>
    </xdr:to>
    <xdr:sp macro="" textlink="Report!G7">
      <xdr:nvSpPr>
        <xdr:cNvPr id="5" name="TextBox 4">
          <a:extLst>
            <a:ext uri="{FF2B5EF4-FFF2-40B4-BE49-F238E27FC236}">
              <a16:creationId xmlns:a16="http://schemas.microsoft.com/office/drawing/2014/main" id="{C65379CD-F353-4A7F-BD48-07E4647D9B5C}"/>
            </a:ext>
          </a:extLst>
        </xdr:cNvPr>
        <xdr:cNvSpPr txBox="1"/>
      </xdr:nvSpPr>
      <xdr:spPr>
        <a:xfrm>
          <a:off x="10216243" y="2051957"/>
          <a:ext cx="1651000" cy="48985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29E4DE-E970-4105-A0D0-5B1D20358CC3}" type="TxLink">
            <a:rPr lang="en-US"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rPr>
            <a:pPr marL="0" indent="0" algn="ctr"/>
            <a:t>6.87</a:t>
          </a:fld>
          <a:endParaRPr lang="en-IN"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endParaRPr>
        </a:p>
      </xdr:txBody>
    </xdr:sp>
    <xdr:clientData/>
  </xdr:twoCellAnchor>
  <xdr:twoCellAnchor>
    <xdr:from>
      <xdr:col>20</xdr:col>
      <xdr:colOff>517072</xdr:colOff>
      <xdr:row>11</xdr:row>
      <xdr:rowOff>90713</xdr:rowOff>
    </xdr:from>
    <xdr:to>
      <xdr:col>23</xdr:col>
      <xdr:colOff>344715</xdr:colOff>
      <xdr:row>14</xdr:row>
      <xdr:rowOff>36285</xdr:rowOff>
    </xdr:to>
    <xdr:sp macro="" textlink="Report!H7">
      <xdr:nvSpPr>
        <xdr:cNvPr id="6" name="TextBox 5">
          <a:extLst>
            <a:ext uri="{FF2B5EF4-FFF2-40B4-BE49-F238E27FC236}">
              <a16:creationId xmlns:a16="http://schemas.microsoft.com/office/drawing/2014/main" id="{D8652630-1F56-47C7-A5D0-A8EC08B2AD14}"/>
            </a:ext>
          </a:extLst>
        </xdr:cNvPr>
        <xdr:cNvSpPr txBox="1"/>
      </xdr:nvSpPr>
      <xdr:spPr>
        <a:xfrm>
          <a:off x="12672786" y="2086427"/>
          <a:ext cx="1651000" cy="489858"/>
        </a:xfrm>
        <a:prstGeom prst="rect">
          <a:avLst/>
        </a:prstGeom>
        <a:noFill/>
        <a:ln w="9525" cmpd="sng">
          <a:noFill/>
        </a:ln>
        <a:effectLst>
          <a:glow rad="1397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E7C035-4886-4ECC-9FA5-F207B349C25A}" type="TxLink">
            <a:rPr lang="en-US"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rPr>
            <a:pPr marL="0" indent="0" algn="ctr"/>
            <a:t>6.23</a:t>
          </a:fld>
          <a:endParaRPr lang="en-IN" sz="3200" b="1" i="0" u="none" strike="noStrike" cap="none" spc="0">
            <a:ln w="22225">
              <a:solidFill>
                <a:schemeClr val="accent2"/>
              </a:solidFill>
              <a:prstDash val="solid"/>
            </a:ln>
            <a:solidFill>
              <a:schemeClr val="accent2">
                <a:lumMod val="40000"/>
                <a:lumOff val="60000"/>
              </a:schemeClr>
            </a:solidFill>
            <a:effectLst/>
            <a:latin typeface="Aptos Narrow"/>
            <a:ea typeface="+mn-ea"/>
            <a:cs typeface="+mn-cs"/>
          </a:endParaRPr>
        </a:p>
      </xdr:txBody>
    </xdr:sp>
    <xdr:clientData/>
  </xdr:twoCellAnchor>
  <xdr:twoCellAnchor>
    <xdr:from>
      <xdr:col>0</xdr:col>
      <xdr:colOff>331304</xdr:colOff>
      <xdr:row>15</xdr:row>
      <xdr:rowOff>55217</xdr:rowOff>
    </xdr:from>
    <xdr:to>
      <xdr:col>7</xdr:col>
      <xdr:colOff>143565</xdr:colOff>
      <xdr:row>29</xdr:row>
      <xdr:rowOff>165652</xdr:rowOff>
    </xdr:to>
    <xdr:sp macro="" textlink="">
      <xdr:nvSpPr>
        <xdr:cNvPr id="9" name="Rectangle 8">
          <a:extLst>
            <a:ext uri="{FF2B5EF4-FFF2-40B4-BE49-F238E27FC236}">
              <a16:creationId xmlns:a16="http://schemas.microsoft.com/office/drawing/2014/main" id="{7CEA2341-9E81-ADBF-F370-1186349666F3}"/>
            </a:ext>
          </a:extLst>
        </xdr:cNvPr>
        <xdr:cNvSpPr/>
      </xdr:nvSpPr>
      <xdr:spPr>
        <a:xfrm>
          <a:off x="331304" y="2871304"/>
          <a:ext cx="4064000" cy="2738783"/>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351183</xdr:colOff>
      <xdr:row>30</xdr:row>
      <xdr:rowOff>163442</xdr:rowOff>
    </xdr:from>
    <xdr:to>
      <xdr:col>7</xdr:col>
      <xdr:colOff>132522</xdr:colOff>
      <xdr:row>45</xdr:row>
      <xdr:rowOff>143565</xdr:rowOff>
    </xdr:to>
    <xdr:sp macro="" textlink="">
      <xdr:nvSpPr>
        <xdr:cNvPr id="11" name="Rectangle 10">
          <a:extLst>
            <a:ext uri="{FF2B5EF4-FFF2-40B4-BE49-F238E27FC236}">
              <a16:creationId xmlns:a16="http://schemas.microsoft.com/office/drawing/2014/main" id="{D9DB1893-0907-4F3E-8272-EF18E64FC599}"/>
            </a:ext>
          </a:extLst>
        </xdr:cNvPr>
        <xdr:cNvSpPr/>
      </xdr:nvSpPr>
      <xdr:spPr>
        <a:xfrm>
          <a:off x="351183" y="5795616"/>
          <a:ext cx="4033078" cy="279621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463826</xdr:colOff>
      <xdr:row>15</xdr:row>
      <xdr:rowOff>30921</xdr:rowOff>
    </xdr:from>
    <xdr:to>
      <xdr:col>14</xdr:col>
      <xdr:colOff>163443</xdr:colOff>
      <xdr:row>29</xdr:row>
      <xdr:rowOff>141356</xdr:rowOff>
    </xdr:to>
    <xdr:sp macro="" textlink="">
      <xdr:nvSpPr>
        <xdr:cNvPr id="12" name="Rectangle 11">
          <a:extLst>
            <a:ext uri="{FF2B5EF4-FFF2-40B4-BE49-F238E27FC236}">
              <a16:creationId xmlns:a16="http://schemas.microsoft.com/office/drawing/2014/main" id="{AF6741B5-0371-4316-92D3-508E86AEF647}"/>
            </a:ext>
          </a:extLst>
        </xdr:cNvPr>
        <xdr:cNvSpPr/>
      </xdr:nvSpPr>
      <xdr:spPr>
        <a:xfrm>
          <a:off x="4715565" y="2847008"/>
          <a:ext cx="3951356" cy="273878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468497</xdr:colOff>
      <xdr:row>31</xdr:row>
      <xdr:rowOff>519</xdr:rowOff>
    </xdr:from>
    <xdr:to>
      <xdr:col>14</xdr:col>
      <xdr:colOff>176695</xdr:colOff>
      <xdr:row>45</xdr:row>
      <xdr:rowOff>143565</xdr:rowOff>
    </xdr:to>
    <xdr:sp macro="" textlink="">
      <xdr:nvSpPr>
        <xdr:cNvPr id="29" name="Rectangle 28">
          <a:extLst>
            <a:ext uri="{FF2B5EF4-FFF2-40B4-BE49-F238E27FC236}">
              <a16:creationId xmlns:a16="http://schemas.microsoft.com/office/drawing/2014/main" id="{B35C1AFE-2AAE-405A-B467-C256695D2DBF}"/>
            </a:ext>
          </a:extLst>
        </xdr:cNvPr>
        <xdr:cNvSpPr/>
      </xdr:nvSpPr>
      <xdr:spPr>
        <a:xfrm>
          <a:off x="4720236" y="5820432"/>
          <a:ext cx="3959937" cy="2771394"/>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519044</xdr:colOff>
      <xdr:row>15</xdr:row>
      <xdr:rowOff>108745</xdr:rowOff>
    </xdr:from>
    <xdr:to>
      <xdr:col>21</xdr:col>
      <xdr:colOff>256464</xdr:colOff>
      <xdr:row>30</xdr:row>
      <xdr:rowOff>31441</xdr:rowOff>
    </xdr:to>
    <xdr:sp macro="" textlink="">
      <xdr:nvSpPr>
        <xdr:cNvPr id="30" name="Rectangle 29">
          <a:extLst>
            <a:ext uri="{FF2B5EF4-FFF2-40B4-BE49-F238E27FC236}">
              <a16:creationId xmlns:a16="http://schemas.microsoft.com/office/drawing/2014/main" id="{F340716D-3BEB-42A8-A96A-921DFD60E8A2}"/>
            </a:ext>
          </a:extLst>
        </xdr:cNvPr>
        <xdr:cNvSpPr/>
      </xdr:nvSpPr>
      <xdr:spPr>
        <a:xfrm>
          <a:off x="9022522" y="2924832"/>
          <a:ext cx="3989159" cy="273878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541385</xdr:colOff>
      <xdr:row>31</xdr:row>
      <xdr:rowOff>29231</xdr:rowOff>
    </xdr:from>
    <xdr:to>
      <xdr:col>21</xdr:col>
      <xdr:colOff>209826</xdr:colOff>
      <xdr:row>45</xdr:row>
      <xdr:rowOff>139666</xdr:rowOff>
    </xdr:to>
    <xdr:sp macro="" textlink="">
      <xdr:nvSpPr>
        <xdr:cNvPr id="31" name="Rectangle 30">
          <a:extLst>
            <a:ext uri="{FF2B5EF4-FFF2-40B4-BE49-F238E27FC236}">
              <a16:creationId xmlns:a16="http://schemas.microsoft.com/office/drawing/2014/main" id="{6244CA52-2966-45EF-B055-7D39F4243A30}"/>
            </a:ext>
          </a:extLst>
        </xdr:cNvPr>
        <xdr:cNvSpPr/>
      </xdr:nvSpPr>
      <xdr:spPr>
        <a:xfrm>
          <a:off x="9044863" y="5849144"/>
          <a:ext cx="3920180" cy="273878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331304</xdr:colOff>
      <xdr:row>15</xdr:row>
      <xdr:rowOff>77823</xdr:rowOff>
    </xdr:from>
    <xdr:to>
      <xdr:col>7</xdr:col>
      <xdr:colOff>132522</xdr:colOff>
      <xdr:row>29</xdr:row>
      <xdr:rowOff>165653</xdr:rowOff>
    </xdr:to>
    <xdr:graphicFrame macro="">
      <xdr:nvGraphicFramePr>
        <xdr:cNvPr id="32" name="Chart 31">
          <a:extLst>
            <a:ext uri="{FF2B5EF4-FFF2-40B4-BE49-F238E27FC236}">
              <a16:creationId xmlns:a16="http://schemas.microsoft.com/office/drawing/2014/main" id="{87B87533-7DA6-497C-A939-A7FA93124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485913</xdr:colOff>
      <xdr:row>15</xdr:row>
      <xdr:rowOff>41965</xdr:rowOff>
    </xdr:from>
    <xdr:to>
      <xdr:col>14</xdr:col>
      <xdr:colOff>132522</xdr:colOff>
      <xdr:row>29</xdr:row>
      <xdr:rowOff>154608</xdr:rowOff>
    </xdr:to>
    <xdr:graphicFrame macro="">
      <xdr:nvGraphicFramePr>
        <xdr:cNvPr id="7" name="Chart 6">
          <a:extLst>
            <a:ext uri="{FF2B5EF4-FFF2-40B4-BE49-F238E27FC236}">
              <a16:creationId xmlns:a16="http://schemas.microsoft.com/office/drawing/2014/main" id="{BFD93755-BB69-4629-AADE-24BACEE4D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519044</xdr:colOff>
      <xdr:row>15</xdr:row>
      <xdr:rowOff>108745</xdr:rowOff>
    </xdr:from>
    <xdr:to>
      <xdr:col>21</xdr:col>
      <xdr:colOff>198783</xdr:colOff>
      <xdr:row>30</xdr:row>
      <xdr:rowOff>35858</xdr:rowOff>
    </xdr:to>
    <xdr:graphicFrame macro="">
      <xdr:nvGraphicFramePr>
        <xdr:cNvPr id="8" name="Chart 7">
          <a:extLst>
            <a:ext uri="{FF2B5EF4-FFF2-40B4-BE49-F238E27FC236}">
              <a16:creationId xmlns:a16="http://schemas.microsoft.com/office/drawing/2014/main" id="{BA8869CD-157B-4311-A587-3476C0FB9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351182</xdr:colOff>
      <xdr:row>30</xdr:row>
      <xdr:rowOff>163442</xdr:rowOff>
    </xdr:from>
    <xdr:to>
      <xdr:col>7</xdr:col>
      <xdr:colOff>99390</xdr:colOff>
      <xdr:row>45</xdr:row>
      <xdr:rowOff>90555</xdr:rowOff>
    </xdr:to>
    <xdr:graphicFrame macro="">
      <xdr:nvGraphicFramePr>
        <xdr:cNvPr id="33" name="Chart 32">
          <a:extLst>
            <a:ext uri="{FF2B5EF4-FFF2-40B4-BE49-F238E27FC236}">
              <a16:creationId xmlns:a16="http://schemas.microsoft.com/office/drawing/2014/main" id="{B2240203-B7D3-422A-B403-E3AC744CD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468496</xdr:colOff>
      <xdr:row>31</xdr:row>
      <xdr:rowOff>519</xdr:rowOff>
    </xdr:from>
    <xdr:to>
      <xdr:col>14</xdr:col>
      <xdr:colOff>154608</xdr:colOff>
      <xdr:row>45</xdr:row>
      <xdr:rowOff>115371</xdr:rowOff>
    </xdr:to>
    <xdr:graphicFrame macro="">
      <xdr:nvGraphicFramePr>
        <xdr:cNvPr id="34" name="Chart 33">
          <a:extLst>
            <a:ext uri="{FF2B5EF4-FFF2-40B4-BE49-F238E27FC236}">
              <a16:creationId xmlns:a16="http://schemas.microsoft.com/office/drawing/2014/main" id="{5FE96066-B130-40DC-8478-B94280F0D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541385</xdr:colOff>
      <xdr:row>31</xdr:row>
      <xdr:rowOff>29230</xdr:rowOff>
    </xdr:from>
    <xdr:to>
      <xdr:col>21</xdr:col>
      <xdr:colOff>176696</xdr:colOff>
      <xdr:row>45</xdr:row>
      <xdr:rowOff>121477</xdr:rowOff>
    </xdr:to>
    <xdr:graphicFrame macro="">
      <xdr:nvGraphicFramePr>
        <xdr:cNvPr id="35" name="Chart 34">
          <a:extLst>
            <a:ext uri="{FF2B5EF4-FFF2-40B4-BE49-F238E27FC236}">
              <a16:creationId xmlns:a16="http://schemas.microsoft.com/office/drawing/2014/main" id="{292B7BF2-0BA5-4632-B1F6-6641F87DD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456064</xdr:colOff>
      <xdr:row>15</xdr:row>
      <xdr:rowOff>94864</xdr:rowOff>
    </xdr:from>
    <xdr:to>
      <xdr:col>24</xdr:col>
      <xdr:colOff>555171</xdr:colOff>
      <xdr:row>22</xdr:row>
      <xdr:rowOff>144780</xdr:rowOff>
    </xdr:to>
    <mc:AlternateContent xmlns:mc="http://schemas.openxmlformats.org/markup-compatibility/2006" xmlns:a14="http://schemas.microsoft.com/office/drawing/2010/main">
      <mc:Choice Requires="a14">
        <xdr:graphicFrame macro="">
          <xdr:nvGraphicFramePr>
            <xdr:cNvPr id="36" name="Academic_Level 1">
              <a:extLst>
                <a:ext uri="{FF2B5EF4-FFF2-40B4-BE49-F238E27FC236}">
                  <a16:creationId xmlns:a16="http://schemas.microsoft.com/office/drawing/2014/main" id="{48A68BAD-822B-47E8-ADA3-B78F3978C040}"/>
                </a:ext>
              </a:extLst>
            </xdr:cNvPr>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13257664" y="2870721"/>
              <a:ext cx="1927907" cy="1345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330786</xdr:colOff>
      <xdr:row>7</xdr:row>
      <xdr:rowOff>137161</xdr:rowOff>
    </xdr:from>
    <xdr:to>
      <xdr:col>28</xdr:col>
      <xdr:colOff>304800</xdr:colOff>
      <xdr:row>13</xdr:row>
      <xdr:rowOff>30480</xdr:rowOff>
    </xdr:to>
    <mc:AlternateContent xmlns:mc="http://schemas.openxmlformats.org/markup-compatibility/2006" xmlns:a14="http://schemas.microsoft.com/office/drawing/2010/main">
      <mc:Choice Requires="a14">
        <xdr:graphicFrame macro="">
          <xdr:nvGraphicFramePr>
            <xdr:cNvPr id="37" name="Gender 1">
              <a:extLst>
                <a:ext uri="{FF2B5EF4-FFF2-40B4-BE49-F238E27FC236}">
                  <a16:creationId xmlns:a16="http://schemas.microsoft.com/office/drawing/2014/main" id="{01279B65-E34E-4976-86A7-7B997E29B0A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961186" y="1432561"/>
              <a:ext cx="2412414" cy="1003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510539</xdr:colOff>
      <xdr:row>31</xdr:row>
      <xdr:rowOff>30480</xdr:rowOff>
    </xdr:from>
    <xdr:to>
      <xdr:col>28</xdr:col>
      <xdr:colOff>261256</xdr:colOff>
      <xdr:row>45</xdr:row>
      <xdr:rowOff>120708</xdr:rowOff>
    </xdr:to>
    <mc:AlternateContent xmlns:mc="http://schemas.openxmlformats.org/markup-compatibility/2006" xmlns:a14="http://schemas.microsoft.com/office/drawing/2010/main">
      <mc:Choice Requires="a14">
        <xdr:graphicFrame macro="">
          <xdr:nvGraphicFramePr>
            <xdr:cNvPr id="38" name="Country 1">
              <a:extLst>
                <a:ext uri="{FF2B5EF4-FFF2-40B4-BE49-F238E27FC236}">
                  <a16:creationId xmlns:a16="http://schemas.microsoft.com/office/drawing/2014/main" id="{6EC1B458-03CC-4042-9BB1-6FB706017CC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312139" y="5767251"/>
              <a:ext cx="4017917" cy="2681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485503</xdr:colOff>
      <xdr:row>23</xdr:row>
      <xdr:rowOff>102325</xdr:rowOff>
    </xdr:from>
    <xdr:to>
      <xdr:col>24</xdr:col>
      <xdr:colOff>555171</xdr:colOff>
      <xdr:row>30</xdr:row>
      <xdr:rowOff>132805</xdr:rowOff>
    </xdr:to>
    <mc:AlternateContent xmlns:mc="http://schemas.openxmlformats.org/markup-compatibility/2006" xmlns:a14="http://schemas.microsoft.com/office/drawing/2010/main">
      <mc:Choice Requires="a14">
        <xdr:graphicFrame macro="">
          <xdr:nvGraphicFramePr>
            <xdr:cNvPr id="39" name="Age_Group 1">
              <a:extLst>
                <a:ext uri="{FF2B5EF4-FFF2-40B4-BE49-F238E27FC236}">
                  <a16:creationId xmlns:a16="http://schemas.microsoft.com/office/drawing/2014/main" id="{A798F5BD-3B6F-4B7E-A482-646478C370E4}"/>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3287103" y="4358639"/>
              <a:ext cx="1898468"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129540</xdr:colOff>
      <xdr:row>13</xdr:row>
      <xdr:rowOff>167640</xdr:rowOff>
    </xdr:from>
    <xdr:to>
      <xdr:col>28</xdr:col>
      <xdr:colOff>286592</xdr:colOff>
      <xdr:row>30</xdr:row>
      <xdr:rowOff>76200</xdr:rowOff>
    </xdr:to>
    <mc:AlternateContent xmlns:mc="http://schemas.openxmlformats.org/markup-compatibility/2006" xmlns:a14="http://schemas.microsoft.com/office/drawing/2010/main">
      <mc:Choice Requires="a14">
        <xdr:graphicFrame macro="">
          <xdr:nvGraphicFramePr>
            <xdr:cNvPr id="40" name="Most_Used_Platform 1">
              <a:extLst>
                <a:ext uri="{FF2B5EF4-FFF2-40B4-BE49-F238E27FC236}">
                  <a16:creationId xmlns:a16="http://schemas.microsoft.com/office/drawing/2014/main" id="{18789988-9A76-488F-A34B-0B4AB29AAC80}"/>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15369540" y="2573383"/>
              <a:ext cx="1985852" cy="305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424542</xdr:colOff>
      <xdr:row>1</xdr:row>
      <xdr:rowOff>54428</xdr:rowOff>
    </xdr:from>
    <xdr:to>
      <xdr:col>7</xdr:col>
      <xdr:colOff>511628</xdr:colOff>
      <xdr:row>5</xdr:row>
      <xdr:rowOff>119742</xdr:rowOff>
    </xdr:to>
    <xdr:sp macro="" textlink="">
      <xdr:nvSpPr>
        <xdr:cNvPr id="42" name="Rectangle: Rounded Corners 41">
          <a:extLst>
            <a:ext uri="{FF2B5EF4-FFF2-40B4-BE49-F238E27FC236}">
              <a16:creationId xmlns:a16="http://schemas.microsoft.com/office/drawing/2014/main" id="{829CA8A7-220E-9100-ECFF-4A86FF25D535}"/>
            </a:ext>
          </a:extLst>
        </xdr:cNvPr>
        <xdr:cNvSpPr/>
      </xdr:nvSpPr>
      <xdr:spPr>
        <a:xfrm>
          <a:off x="2862942" y="239485"/>
          <a:ext cx="1915886" cy="805543"/>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435428</xdr:colOff>
      <xdr:row>1</xdr:row>
      <xdr:rowOff>65314</xdr:rowOff>
    </xdr:from>
    <xdr:to>
      <xdr:col>23</xdr:col>
      <xdr:colOff>446315</xdr:colOff>
      <xdr:row>5</xdr:row>
      <xdr:rowOff>130628</xdr:rowOff>
    </xdr:to>
    <xdr:sp macro="" textlink="">
      <xdr:nvSpPr>
        <xdr:cNvPr id="43" name="Rectangle: Rounded Corners 42">
          <a:extLst>
            <a:ext uri="{FF2B5EF4-FFF2-40B4-BE49-F238E27FC236}">
              <a16:creationId xmlns:a16="http://schemas.microsoft.com/office/drawing/2014/main" id="{07071992-118B-4A7D-9815-C1EBEC49A002}"/>
            </a:ext>
          </a:extLst>
        </xdr:cNvPr>
        <xdr:cNvSpPr/>
      </xdr:nvSpPr>
      <xdr:spPr>
        <a:xfrm>
          <a:off x="12627428" y="250371"/>
          <a:ext cx="1839687" cy="805543"/>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522514</xdr:colOff>
      <xdr:row>1</xdr:row>
      <xdr:rowOff>163285</xdr:rowOff>
    </xdr:from>
    <xdr:to>
      <xdr:col>7</xdr:col>
      <xdr:colOff>326571</xdr:colOff>
      <xdr:row>4</xdr:row>
      <xdr:rowOff>141513</xdr:rowOff>
    </xdr:to>
    <xdr:sp macro="" textlink="">
      <xdr:nvSpPr>
        <xdr:cNvPr id="44" name="TextBox 43">
          <a:hlinkClick xmlns:r="http://schemas.openxmlformats.org/officeDocument/2006/relationships" r:id="rId11"/>
          <a:extLst>
            <a:ext uri="{FF2B5EF4-FFF2-40B4-BE49-F238E27FC236}">
              <a16:creationId xmlns:a16="http://schemas.microsoft.com/office/drawing/2014/main" id="{64D2BE76-B25C-E9B0-6A21-1B313891A20D}"/>
            </a:ext>
          </a:extLst>
        </xdr:cNvPr>
        <xdr:cNvSpPr txBox="1"/>
      </xdr:nvSpPr>
      <xdr:spPr>
        <a:xfrm>
          <a:off x="2960914" y="348342"/>
          <a:ext cx="1632857"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FFFF00"/>
              </a:solidFill>
            </a:rPr>
            <a:t>Dataset</a:t>
          </a:r>
        </a:p>
      </xdr:txBody>
    </xdr:sp>
    <xdr:clientData/>
  </xdr:twoCellAnchor>
  <xdr:twoCellAnchor>
    <xdr:from>
      <xdr:col>20</xdr:col>
      <xdr:colOff>544286</xdr:colOff>
      <xdr:row>2</xdr:row>
      <xdr:rowOff>10885</xdr:rowOff>
    </xdr:from>
    <xdr:to>
      <xdr:col>23</xdr:col>
      <xdr:colOff>348343</xdr:colOff>
      <xdr:row>4</xdr:row>
      <xdr:rowOff>174170</xdr:rowOff>
    </xdr:to>
    <xdr:sp macro="" textlink="">
      <xdr:nvSpPr>
        <xdr:cNvPr id="45" name="TextBox 44">
          <a:hlinkClick xmlns:r="http://schemas.openxmlformats.org/officeDocument/2006/relationships" r:id="rId12"/>
          <a:extLst>
            <a:ext uri="{FF2B5EF4-FFF2-40B4-BE49-F238E27FC236}">
              <a16:creationId xmlns:a16="http://schemas.microsoft.com/office/drawing/2014/main" id="{3BA29365-CFC2-4801-8937-C32975FD645E}"/>
            </a:ext>
          </a:extLst>
        </xdr:cNvPr>
        <xdr:cNvSpPr txBox="1"/>
      </xdr:nvSpPr>
      <xdr:spPr>
        <a:xfrm>
          <a:off x="12736286" y="380999"/>
          <a:ext cx="1632857"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FFFF00"/>
              </a:solidFill>
            </a:rPr>
            <a:t>Report</a:t>
          </a:r>
        </a:p>
      </xdr:txBody>
    </xdr:sp>
    <xdr:clientData/>
  </xdr:twoCellAnchor>
  <xdr:twoCellAnchor>
    <xdr:from>
      <xdr:col>7</xdr:col>
      <xdr:colOff>555170</xdr:colOff>
      <xdr:row>0</xdr:row>
      <xdr:rowOff>119743</xdr:rowOff>
    </xdr:from>
    <xdr:to>
      <xdr:col>20</xdr:col>
      <xdr:colOff>163287</xdr:colOff>
      <xdr:row>6</xdr:row>
      <xdr:rowOff>76200</xdr:rowOff>
    </xdr:to>
    <xdr:sp macro="" textlink="">
      <xdr:nvSpPr>
        <xdr:cNvPr id="46" name="TextBox 45">
          <a:extLst>
            <a:ext uri="{FF2B5EF4-FFF2-40B4-BE49-F238E27FC236}">
              <a16:creationId xmlns:a16="http://schemas.microsoft.com/office/drawing/2014/main" id="{6B63150B-1A72-061D-DC9D-D5045F733F0F}"/>
            </a:ext>
          </a:extLst>
        </xdr:cNvPr>
        <xdr:cNvSpPr txBox="1"/>
      </xdr:nvSpPr>
      <xdr:spPr>
        <a:xfrm>
          <a:off x="4822370" y="119743"/>
          <a:ext cx="7532917"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FFFF00"/>
              </a:solidFill>
            </a:rPr>
            <a:t>Students Social Media Addiction – Impact Analysis Dashboard</a:t>
          </a:r>
          <a:endParaRPr lang="en-IN" sz="2400" b="1">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shu Rangari" refreshedDate="46050.623177546295" createdVersion="8" refreshedVersion="8" minRefreshableVersion="3" recordCount="705" xr:uid="{56DDC240-F8E9-4AF6-A3F7-3308A290F09B}">
  <cacheSource type="worksheet">
    <worksheetSource name="Table1"/>
  </cacheSource>
  <cacheFields count="22">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acheField>
    <cacheField name="Addicted_Score" numFmtId="0">
      <sharedItems containsSemiMixedTypes="0" containsString="0" containsNumber="1" containsInteger="1" minValue="2" maxValue="9"/>
    </cacheField>
    <cacheField name="Age_Group" numFmtId="0">
      <sharedItems count="3">
        <s v="Young Adult"/>
        <s v="Adult"/>
        <s v="Teen"/>
      </sharedItems>
    </cacheField>
    <cacheField name="Usage Category" numFmtId="0">
      <sharedItems count="4">
        <s v="High"/>
        <s v="Moderate"/>
        <s v="Very High"/>
        <s v="Low"/>
      </sharedItems>
    </cacheField>
    <cacheField name="Addiction Level" numFmtId="0">
      <sharedItems count="3">
        <s v="High"/>
        <s v="Low"/>
        <s v="Medium"/>
      </sharedItems>
    </cacheField>
    <cacheField name="Sleep Quality" numFmtId="0">
      <sharedItems/>
    </cacheField>
    <cacheField name="Academic Impact Flag" numFmtId="0">
      <sharedItems containsSemiMixedTypes="0" containsString="0" containsNumber="1" containsInteger="1" minValue="0" maxValue="1"/>
    </cacheField>
    <cacheField name="Mental Health Status" numFmtId="0">
      <sharedItems/>
    </cacheField>
    <cacheField name="% High Addiction Students" numFmtId="0">
      <sharedItems containsSemiMixedTypes="0" containsString="0" containsNumber="1" minValue="0.5787234042553191" maxValue="0.5787234042553191"/>
    </cacheField>
    <cacheField name="% Academic Performance Affected" numFmtId="0">
      <sharedItems containsSemiMixedTypes="0" containsString="0" containsNumber="1" minValue="0.64255319148936174" maxValue="0.64255319148936174"/>
    </cacheField>
    <cacheField name="Average Sleep Hours" numFmtId="0">
      <sharedItems containsSemiMixedTypes="0" containsString="0" containsNumber="1" minValue="6.868936170212768" maxValue="6.868936170212768"/>
    </cacheField>
    <cacheField name="Average Mental Health Score" numFmtId="0">
      <sharedItems containsSemiMixedTypes="0" containsString="0" containsNumber="1" minValue="6.2269503546099294" maxValue="6.2269503546099294"/>
    </cacheField>
  </cacheFields>
  <extLst>
    <ext xmlns:x14="http://schemas.microsoft.com/office/spreadsheetml/2009/9/main" uri="{725AE2AE-9491-48be-B2B4-4EB974FC3084}">
      <x14:pivotCacheDefinition pivotCacheId="2087632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n v="19"/>
    <x v="0"/>
    <x v="0"/>
    <x v="0"/>
    <n v="5.2"/>
    <x v="0"/>
    <x v="0"/>
    <n v="6.5"/>
    <n v="6"/>
    <s v="In Relationship"/>
    <n v="8"/>
    <x v="0"/>
    <x v="0"/>
    <x v="0"/>
    <s v="Average"/>
    <n v="1"/>
    <s v="Average"/>
    <n v="0.5787234042553191"/>
    <n v="0.64255319148936174"/>
    <n v="6.868936170212768"/>
    <n v="6.2269503546099294"/>
  </r>
  <r>
    <n v="2"/>
    <n v="22"/>
    <x v="1"/>
    <x v="1"/>
    <x v="1"/>
    <n v="2.1"/>
    <x v="1"/>
    <x v="1"/>
    <n v="7.5"/>
    <n v="8"/>
    <s v="Single"/>
    <n v="3"/>
    <x v="1"/>
    <x v="1"/>
    <x v="1"/>
    <s v="Healthy"/>
    <n v="0"/>
    <s v="Good"/>
    <n v="0.5787234042553191"/>
    <n v="0.64255319148936174"/>
    <n v="6.868936170212768"/>
    <n v="6.2269503546099294"/>
  </r>
  <r>
    <n v="3"/>
    <n v="20"/>
    <x v="0"/>
    <x v="0"/>
    <x v="2"/>
    <n v="6"/>
    <x v="2"/>
    <x v="0"/>
    <n v="5"/>
    <n v="5"/>
    <s v="Complicated"/>
    <n v="9"/>
    <x v="0"/>
    <x v="2"/>
    <x v="0"/>
    <s v="Poor"/>
    <n v="1"/>
    <s v="Average"/>
    <n v="0.5787234042553191"/>
    <n v="0.64255319148936174"/>
    <n v="6.868936170212768"/>
    <n v="6.2269503546099294"/>
  </r>
  <r>
    <n v="4"/>
    <n v="18"/>
    <x v="1"/>
    <x v="2"/>
    <x v="3"/>
    <n v="3"/>
    <x v="3"/>
    <x v="1"/>
    <n v="7"/>
    <n v="7"/>
    <s v="Single"/>
    <n v="4"/>
    <x v="2"/>
    <x v="1"/>
    <x v="2"/>
    <s v="Average"/>
    <n v="0"/>
    <s v="Good"/>
    <n v="0.5787234042553191"/>
    <n v="0.64255319148936174"/>
    <n v="6.868936170212768"/>
    <n v="6.2269503546099294"/>
  </r>
  <r>
    <n v="5"/>
    <n v="21"/>
    <x v="1"/>
    <x v="1"/>
    <x v="4"/>
    <n v="4.5"/>
    <x v="4"/>
    <x v="0"/>
    <n v="6"/>
    <n v="6"/>
    <s v="In Relationship"/>
    <n v="7"/>
    <x v="0"/>
    <x v="0"/>
    <x v="0"/>
    <s v="Average"/>
    <n v="1"/>
    <s v="Average"/>
    <n v="0.5787234042553191"/>
    <n v="0.64255319148936174"/>
    <n v="6.868936170212768"/>
    <n v="6.2269503546099294"/>
  </r>
  <r>
    <n v="6"/>
    <n v="19"/>
    <x v="0"/>
    <x v="0"/>
    <x v="5"/>
    <n v="7.2"/>
    <x v="0"/>
    <x v="0"/>
    <n v="4.5"/>
    <n v="4"/>
    <s v="Complicated"/>
    <n v="9"/>
    <x v="0"/>
    <x v="2"/>
    <x v="0"/>
    <s v="Poor"/>
    <n v="1"/>
    <s v="Poor"/>
    <n v="0.5787234042553191"/>
    <n v="0.64255319148936174"/>
    <n v="6.868936170212768"/>
    <n v="6.2269503546099294"/>
  </r>
  <r>
    <n v="7"/>
    <n v="23"/>
    <x v="1"/>
    <x v="1"/>
    <x v="6"/>
    <n v="1.5"/>
    <x v="5"/>
    <x v="1"/>
    <n v="8"/>
    <n v="9"/>
    <s v="Single"/>
    <n v="2"/>
    <x v="1"/>
    <x v="3"/>
    <x v="1"/>
    <s v="Healthy"/>
    <n v="0"/>
    <s v="Good"/>
    <n v="0.5787234042553191"/>
    <n v="0.64255319148936174"/>
    <n v="6.868936170212768"/>
    <n v="6.2269503546099294"/>
  </r>
  <r>
    <n v="8"/>
    <n v="20"/>
    <x v="0"/>
    <x v="0"/>
    <x v="7"/>
    <n v="5.8"/>
    <x v="6"/>
    <x v="0"/>
    <n v="6"/>
    <n v="6"/>
    <s v="In Relationship"/>
    <n v="8"/>
    <x v="0"/>
    <x v="0"/>
    <x v="0"/>
    <s v="Average"/>
    <n v="1"/>
    <s v="Average"/>
    <n v="0.5787234042553191"/>
    <n v="0.64255319148936174"/>
    <n v="6.868936170212768"/>
    <n v="6.2269503546099294"/>
  </r>
  <r>
    <n v="9"/>
    <n v="18"/>
    <x v="1"/>
    <x v="2"/>
    <x v="8"/>
    <n v="4"/>
    <x v="2"/>
    <x v="1"/>
    <n v="6.5"/>
    <n v="7"/>
    <s v="Single"/>
    <n v="5"/>
    <x v="2"/>
    <x v="0"/>
    <x v="2"/>
    <s v="Average"/>
    <n v="0"/>
    <s v="Good"/>
    <n v="0.5787234042553191"/>
    <n v="0.64255319148936174"/>
    <n v="6.868936170212768"/>
    <n v="6.2269503546099294"/>
  </r>
  <r>
    <n v="10"/>
    <n v="21"/>
    <x v="0"/>
    <x v="1"/>
    <x v="9"/>
    <n v="3.3"/>
    <x v="0"/>
    <x v="1"/>
    <n v="7"/>
    <n v="7"/>
    <s v="In Relationship"/>
    <n v="4"/>
    <x v="0"/>
    <x v="1"/>
    <x v="2"/>
    <s v="Average"/>
    <n v="0"/>
    <s v="Good"/>
    <n v="0.5787234042553191"/>
    <n v="0.64255319148936174"/>
    <n v="6.868936170212768"/>
    <n v="6.2269503546099294"/>
  </r>
  <r>
    <n v="11"/>
    <n v="19"/>
    <x v="1"/>
    <x v="0"/>
    <x v="10"/>
    <n v="4.8"/>
    <x v="6"/>
    <x v="0"/>
    <n v="6.2"/>
    <n v="5"/>
    <s v="Complicated"/>
    <n v="7"/>
    <x v="0"/>
    <x v="0"/>
    <x v="0"/>
    <s v="Average"/>
    <n v="1"/>
    <s v="Average"/>
    <n v="0.5787234042553191"/>
    <n v="0.64255319148936174"/>
    <n v="6.868936170212768"/>
    <n v="6.2269503546099294"/>
  </r>
  <r>
    <n v="12"/>
    <n v="20"/>
    <x v="0"/>
    <x v="0"/>
    <x v="11"/>
    <n v="5.5"/>
    <x v="2"/>
    <x v="0"/>
    <n v="5.8"/>
    <n v="6"/>
    <s v="In Relationship"/>
    <n v="8"/>
    <x v="0"/>
    <x v="0"/>
    <x v="0"/>
    <s v="Poor"/>
    <n v="1"/>
    <s v="Average"/>
    <n v="0.5787234042553191"/>
    <n v="0.64255319148936174"/>
    <n v="6.868936170212768"/>
    <n v="6.2269503546099294"/>
  </r>
  <r>
    <n v="13"/>
    <n v="22"/>
    <x v="1"/>
    <x v="1"/>
    <x v="12"/>
    <n v="2.8"/>
    <x v="5"/>
    <x v="1"/>
    <n v="7.2"/>
    <n v="8"/>
    <s v="Single"/>
    <n v="4"/>
    <x v="1"/>
    <x v="1"/>
    <x v="2"/>
    <s v="Healthy"/>
    <n v="0"/>
    <s v="Good"/>
    <n v="0.5787234042553191"/>
    <n v="0.64255319148936174"/>
    <n v="6.868936170212768"/>
    <n v="6.2269503546099294"/>
  </r>
  <r>
    <n v="14"/>
    <n v="18"/>
    <x v="0"/>
    <x v="2"/>
    <x v="13"/>
    <n v="6.5"/>
    <x v="0"/>
    <x v="0"/>
    <n v="5.5"/>
    <n v="5"/>
    <s v="Single"/>
    <n v="9"/>
    <x v="2"/>
    <x v="2"/>
    <x v="0"/>
    <s v="Poor"/>
    <n v="1"/>
    <s v="Average"/>
    <n v="0.5787234042553191"/>
    <n v="0.64255319148936174"/>
    <n v="6.868936170212768"/>
    <n v="6.2269503546099294"/>
  </r>
  <r>
    <n v="15"/>
    <n v="21"/>
    <x v="1"/>
    <x v="0"/>
    <x v="14"/>
    <n v="3.7"/>
    <x v="3"/>
    <x v="1"/>
    <n v="6.8"/>
    <n v="7"/>
    <s v="In Relationship"/>
    <n v="5"/>
    <x v="0"/>
    <x v="1"/>
    <x v="2"/>
    <s v="Average"/>
    <n v="0"/>
    <s v="Good"/>
    <n v="0.5787234042553191"/>
    <n v="0.64255319148936174"/>
    <n v="6.868936170212768"/>
    <n v="6.2269503546099294"/>
  </r>
  <r>
    <n v="16"/>
    <n v="20"/>
    <x v="0"/>
    <x v="0"/>
    <x v="15"/>
    <n v="4.2"/>
    <x v="2"/>
    <x v="0"/>
    <n v="6"/>
    <n v="6"/>
    <s v="Complicated"/>
    <n v="7"/>
    <x v="0"/>
    <x v="0"/>
    <x v="0"/>
    <s v="Average"/>
    <n v="1"/>
    <s v="Average"/>
    <n v="0.5787234042553191"/>
    <n v="0.64255319148936174"/>
    <n v="6.868936170212768"/>
    <n v="6.2269503546099294"/>
  </r>
  <r>
    <n v="17"/>
    <n v="24"/>
    <x v="1"/>
    <x v="1"/>
    <x v="16"/>
    <n v="2"/>
    <x v="5"/>
    <x v="1"/>
    <n v="7.8"/>
    <n v="8"/>
    <s v="Single"/>
    <n v="3"/>
    <x v="1"/>
    <x v="1"/>
    <x v="1"/>
    <s v="Healthy"/>
    <n v="0"/>
    <s v="Good"/>
    <n v="0.5787234042553191"/>
    <n v="0.64255319148936174"/>
    <n v="6.868936170212768"/>
    <n v="6.2269503546099294"/>
  </r>
  <r>
    <n v="18"/>
    <n v="19"/>
    <x v="0"/>
    <x v="2"/>
    <x v="17"/>
    <n v="5"/>
    <x v="0"/>
    <x v="0"/>
    <n v="5.7"/>
    <n v="5"/>
    <s v="In Relationship"/>
    <n v="8"/>
    <x v="0"/>
    <x v="0"/>
    <x v="0"/>
    <s v="Poor"/>
    <n v="1"/>
    <s v="Average"/>
    <n v="0.5787234042553191"/>
    <n v="0.64255319148936174"/>
    <n v="6.868936170212768"/>
    <n v="6.2269503546099294"/>
  </r>
  <r>
    <n v="19"/>
    <n v="21"/>
    <x v="1"/>
    <x v="0"/>
    <x v="18"/>
    <n v="3.5"/>
    <x v="4"/>
    <x v="1"/>
    <n v="6.7"/>
    <n v="7"/>
    <s v="Single"/>
    <n v="5"/>
    <x v="0"/>
    <x v="1"/>
    <x v="2"/>
    <s v="Average"/>
    <n v="0"/>
    <s v="Good"/>
    <n v="0.5787234042553191"/>
    <n v="0.64255319148936174"/>
    <n v="6.868936170212768"/>
    <n v="6.2269503546099294"/>
  </r>
  <r>
    <n v="20"/>
    <n v="20"/>
    <x v="0"/>
    <x v="0"/>
    <x v="19"/>
    <n v="4.7"/>
    <x v="6"/>
    <x v="0"/>
    <n v="5.9"/>
    <n v="6"/>
    <s v="Complicated"/>
    <n v="7"/>
    <x v="0"/>
    <x v="0"/>
    <x v="0"/>
    <s v="Poor"/>
    <n v="1"/>
    <s v="Average"/>
    <n v="0.5787234042553191"/>
    <n v="0.64255319148936174"/>
    <n v="6.868936170212768"/>
    <n v="6.2269503546099294"/>
  </r>
  <r>
    <n v="21"/>
    <n v="18"/>
    <x v="1"/>
    <x v="2"/>
    <x v="20"/>
    <n v="5.3"/>
    <x v="2"/>
    <x v="0"/>
    <n v="5.5"/>
    <n v="5"/>
    <s v="Single"/>
    <n v="8"/>
    <x v="2"/>
    <x v="0"/>
    <x v="0"/>
    <s v="Poor"/>
    <n v="1"/>
    <s v="Average"/>
    <n v="0.5787234042553191"/>
    <n v="0.64255319148936174"/>
    <n v="6.868936170212768"/>
    <n v="6.2269503546099294"/>
  </r>
  <r>
    <n v="22"/>
    <n v="23"/>
    <x v="0"/>
    <x v="1"/>
    <x v="21"/>
    <n v="2.5"/>
    <x v="5"/>
    <x v="1"/>
    <n v="7.3"/>
    <n v="8"/>
    <s v="In Relationship"/>
    <n v="4"/>
    <x v="1"/>
    <x v="1"/>
    <x v="2"/>
    <s v="Healthy"/>
    <n v="0"/>
    <s v="Good"/>
    <n v="0.5787234042553191"/>
    <n v="0.64255319148936174"/>
    <n v="6.868936170212768"/>
    <n v="6.2269503546099294"/>
  </r>
  <r>
    <n v="23"/>
    <n v="19"/>
    <x v="1"/>
    <x v="0"/>
    <x v="22"/>
    <n v="4.9000000000000004"/>
    <x v="0"/>
    <x v="0"/>
    <n v="5.8"/>
    <n v="6"/>
    <s v="Complicated"/>
    <n v="7"/>
    <x v="0"/>
    <x v="0"/>
    <x v="0"/>
    <s v="Poor"/>
    <n v="1"/>
    <s v="Average"/>
    <n v="0.5787234042553191"/>
    <n v="0.64255319148936174"/>
    <n v="6.868936170212768"/>
    <n v="6.2269503546099294"/>
  </r>
  <r>
    <n v="24"/>
    <n v="20"/>
    <x v="0"/>
    <x v="0"/>
    <x v="23"/>
    <n v="5.7"/>
    <x v="2"/>
    <x v="0"/>
    <n v="5.4"/>
    <n v="5"/>
    <s v="Single"/>
    <n v="8"/>
    <x v="0"/>
    <x v="0"/>
    <x v="0"/>
    <s v="Poor"/>
    <n v="1"/>
    <s v="Average"/>
    <n v="0.5787234042553191"/>
    <n v="0.64255319148936174"/>
    <n v="6.868936170212768"/>
    <n v="6.2269503546099294"/>
  </r>
  <r>
    <n v="25"/>
    <n v="22"/>
    <x v="1"/>
    <x v="1"/>
    <x v="24"/>
    <n v="3.2"/>
    <x v="4"/>
    <x v="1"/>
    <n v="6.9"/>
    <n v="7"/>
    <s v="In Relationship"/>
    <n v="5"/>
    <x v="1"/>
    <x v="1"/>
    <x v="2"/>
    <s v="Average"/>
    <n v="0"/>
    <s v="Good"/>
    <n v="0.5787234042553191"/>
    <n v="0.64255319148936174"/>
    <n v="6.868936170212768"/>
    <n v="6.2269503546099294"/>
  </r>
  <r>
    <n v="26"/>
    <n v="19"/>
    <x v="0"/>
    <x v="2"/>
    <x v="25"/>
    <n v="6.1"/>
    <x v="0"/>
    <x v="0"/>
    <n v="5.2"/>
    <n v="5"/>
    <s v="Complicated"/>
    <n v="9"/>
    <x v="0"/>
    <x v="2"/>
    <x v="0"/>
    <s v="Poor"/>
    <n v="1"/>
    <s v="Average"/>
    <n v="0.5787234042553191"/>
    <n v="0.64255319148936174"/>
    <n v="6.868936170212768"/>
    <n v="6.2269503546099294"/>
  </r>
  <r>
    <n v="27"/>
    <n v="21"/>
    <x v="1"/>
    <x v="0"/>
    <x v="26"/>
    <n v="3.8"/>
    <x v="3"/>
    <x v="1"/>
    <n v="6.6"/>
    <n v="7"/>
    <s v="Single"/>
    <n v="5"/>
    <x v="0"/>
    <x v="1"/>
    <x v="2"/>
    <s v="Average"/>
    <n v="0"/>
    <s v="Good"/>
    <n v="0.5787234042553191"/>
    <n v="0.64255319148936174"/>
    <n v="6.868936170212768"/>
    <n v="6.2269503546099294"/>
  </r>
  <r>
    <n v="28"/>
    <n v="20"/>
    <x v="0"/>
    <x v="0"/>
    <x v="27"/>
    <n v="4.4000000000000004"/>
    <x v="2"/>
    <x v="0"/>
    <n v="5.9"/>
    <n v="6"/>
    <s v="In Relationship"/>
    <n v="7"/>
    <x v="0"/>
    <x v="0"/>
    <x v="0"/>
    <s v="Poor"/>
    <n v="1"/>
    <s v="Average"/>
    <n v="0.5787234042553191"/>
    <n v="0.64255319148936174"/>
    <n v="6.868936170212768"/>
    <n v="6.2269503546099294"/>
  </r>
  <r>
    <n v="29"/>
    <n v="24"/>
    <x v="1"/>
    <x v="1"/>
    <x v="28"/>
    <n v="2.2000000000000002"/>
    <x v="5"/>
    <x v="1"/>
    <n v="7.4"/>
    <n v="8"/>
    <s v="Single"/>
    <n v="3"/>
    <x v="1"/>
    <x v="1"/>
    <x v="1"/>
    <s v="Healthy"/>
    <n v="0"/>
    <s v="Good"/>
    <n v="0.5787234042553191"/>
    <n v="0.64255319148936174"/>
    <n v="6.868936170212768"/>
    <n v="6.2269503546099294"/>
  </r>
  <r>
    <n v="30"/>
    <n v="19"/>
    <x v="0"/>
    <x v="2"/>
    <x v="29"/>
    <n v="5.9"/>
    <x v="0"/>
    <x v="0"/>
    <n v="5.3"/>
    <n v="5"/>
    <s v="Complicated"/>
    <n v="8"/>
    <x v="0"/>
    <x v="0"/>
    <x v="0"/>
    <s v="Poor"/>
    <n v="1"/>
    <s v="Average"/>
    <n v="0.5787234042553191"/>
    <n v="0.64255319148936174"/>
    <n v="6.868936170212768"/>
    <n v="6.2269503546099294"/>
  </r>
  <r>
    <n v="31"/>
    <n v="21"/>
    <x v="1"/>
    <x v="0"/>
    <x v="30"/>
    <n v="3.6"/>
    <x v="4"/>
    <x v="1"/>
    <n v="6.7"/>
    <n v="7"/>
    <s v="Single"/>
    <n v="5"/>
    <x v="0"/>
    <x v="1"/>
    <x v="2"/>
    <s v="Average"/>
    <n v="0"/>
    <s v="Good"/>
    <n v="0.5787234042553191"/>
    <n v="0.64255319148936174"/>
    <n v="6.868936170212768"/>
    <n v="6.2269503546099294"/>
  </r>
  <r>
    <n v="32"/>
    <n v="20"/>
    <x v="0"/>
    <x v="0"/>
    <x v="31"/>
    <n v="4.8"/>
    <x v="6"/>
    <x v="0"/>
    <n v="5.7"/>
    <n v="6"/>
    <s v="In Relationship"/>
    <n v="7"/>
    <x v="0"/>
    <x v="0"/>
    <x v="0"/>
    <s v="Poor"/>
    <n v="1"/>
    <s v="Average"/>
    <n v="0.5787234042553191"/>
    <n v="0.64255319148936174"/>
    <n v="6.868936170212768"/>
    <n v="6.2269503546099294"/>
  </r>
  <r>
    <n v="33"/>
    <n v="18"/>
    <x v="1"/>
    <x v="2"/>
    <x v="32"/>
    <n v="5.4"/>
    <x v="2"/>
    <x v="0"/>
    <n v="5.4"/>
    <n v="5"/>
    <s v="Complicated"/>
    <n v="8"/>
    <x v="2"/>
    <x v="0"/>
    <x v="0"/>
    <s v="Poor"/>
    <n v="1"/>
    <s v="Average"/>
    <n v="0.5787234042553191"/>
    <n v="0.64255319148936174"/>
    <n v="6.868936170212768"/>
    <n v="6.2269503546099294"/>
  </r>
  <r>
    <n v="34"/>
    <n v="23"/>
    <x v="0"/>
    <x v="1"/>
    <x v="33"/>
    <n v="2.6"/>
    <x v="5"/>
    <x v="1"/>
    <n v="7.2"/>
    <n v="8"/>
    <s v="Single"/>
    <n v="4"/>
    <x v="1"/>
    <x v="1"/>
    <x v="2"/>
    <s v="Healthy"/>
    <n v="0"/>
    <s v="Good"/>
    <n v="0.5787234042553191"/>
    <n v="0.64255319148936174"/>
    <n v="6.868936170212768"/>
    <n v="6.2269503546099294"/>
  </r>
  <r>
    <n v="35"/>
    <n v="19"/>
    <x v="1"/>
    <x v="0"/>
    <x v="34"/>
    <n v="4.7"/>
    <x v="0"/>
    <x v="0"/>
    <n v="5.8"/>
    <n v="6"/>
    <s v="In Relationship"/>
    <n v="7"/>
    <x v="0"/>
    <x v="0"/>
    <x v="0"/>
    <s v="Poor"/>
    <n v="1"/>
    <s v="Average"/>
    <n v="0.5787234042553191"/>
    <n v="0.64255319148936174"/>
    <n v="6.868936170212768"/>
    <n v="6.2269503546099294"/>
  </r>
  <r>
    <n v="36"/>
    <n v="20"/>
    <x v="0"/>
    <x v="0"/>
    <x v="35"/>
    <n v="5.6"/>
    <x v="2"/>
    <x v="0"/>
    <n v="5.5"/>
    <n v="5"/>
    <s v="Complicated"/>
    <n v="8"/>
    <x v="0"/>
    <x v="0"/>
    <x v="0"/>
    <s v="Poor"/>
    <n v="1"/>
    <s v="Average"/>
    <n v="0.5787234042553191"/>
    <n v="0.64255319148936174"/>
    <n v="6.868936170212768"/>
    <n v="6.2269503546099294"/>
  </r>
  <r>
    <n v="37"/>
    <n v="22"/>
    <x v="1"/>
    <x v="1"/>
    <x v="36"/>
    <n v="3.1"/>
    <x v="4"/>
    <x v="1"/>
    <n v="6.8"/>
    <n v="7"/>
    <s v="Single"/>
    <n v="5"/>
    <x v="1"/>
    <x v="1"/>
    <x v="2"/>
    <s v="Average"/>
    <n v="0"/>
    <s v="Good"/>
    <n v="0.5787234042553191"/>
    <n v="0.64255319148936174"/>
    <n v="6.868936170212768"/>
    <n v="6.2269503546099294"/>
  </r>
  <r>
    <n v="38"/>
    <n v="19"/>
    <x v="0"/>
    <x v="2"/>
    <x v="37"/>
    <n v="6.2"/>
    <x v="0"/>
    <x v="0"/>
    <n v="5.0999999999999996"/>
    <n v="5"/>
    <s v="In Relationship"/>
    <n v="9"/>
    <x v="0"/>
    <x v="2"/>
    <x v="0"/>
    <s v="Poor"/>
    <n v="1"/>
    <s v="Average"/>
    <n v="0.5787234042553191"/>
    <n v="0.64255319148936174"/>
    <n v="6.868936170212768"/>
    <n v="6.2269503546099294"/>
  </r>
  <r>
    <n v="39"/>
    <n v="21"/>
    <x v="1"/>
    <x v="0"/>
    <x v="38"/>
    <n v="3.9"/>
    <x v="3"/>
    <x v="1"/>
    <n v="6.5"/>
    <n v="7"/>
    <s v="Complicated"/>
    <n v="6"/>
    <x v="0"/>
    <x v="1"/>
    <x v="2"/>
    <s v="Average"/>
    <n v="0"/>
    <s v="Good"/>
    <n v="0.5787234042553191"/>
    <n v="0.64255319148936174"/>
    <n v="6.868936170212768"/>
    <n v="6.2269503546099294"/>
  </r>
  <r>
    <n v="40"/>
    <n v="20"/>
    <x v="0"/>
    <x v="0"/>
    <x v="39"/>
    <n v="4.5"/>
    <x v="2"/>
    <x v="0"/>
    <n v="5.8"/>
    <n v="6"/>
    <s v="Single"/>
    <n v="7"/>
    <x v="0"/>
    <x v="0"/>
    <x v="0"/>
    <s v="Poor"/>
    <n v="1"/>
    <s v="Average"/>
    <n v="0.5787234042553191"/>
    <n v="0.64255319148936174"/>
    <n v="6.868936170212768"/>
    <n v="6.2269503546099294"/>
  </r>
  <r>
    <n v="41"/>
    <n v="24"/>
    <x v="1"/>
    <x v="1"/>
    <x v="40"/>
    <n v="2.2999999999999998"/>
    <x v="5"/>
    <x v="1"/>
    <n v="7.3"/>
    <n v="8"/>
    <s v="In Relationship"/>
    <n v="4"/>
    <x v="1"/>
    <x v="1"/>
    <x v="2"/>
    <s v="Healthy"/>
    <n v="0"/>
    <s v="Good"/>
    <n v="0.5787234042553191"/>
    <n v="0.64255319148936174"/>
    <n v="6.868936170212768"/>
    <n v="6.2269503546099294"/>
  </r>
  <r>
    <n v="42"/>
    <n v="19"/>
    <x v="0"/>
    <x v="2"/>
    <x v="41"/>
    <n v="5.8"/>
    <x v="0"/>
    <x v="0"/>
    <n v="5.4"/>
    <n v="5"/>
    <s v="Complicated"/>
    <n v="8"/>
    <x v="0"/>
    <x v="0"/>
    <x v="0"/>
    <s v="Poor"/>
    <n v="1"/>
    <s v="Average"/>
    <n v="0.5787234042553191"/>
    <n v="0.64255319148936174"/>
    <n v="6.868936170212768"/>
    <n v="6.2269503546099294"/>
  </r>
  <r>
    <n v="43"/>
    <n v="21"/>
    <x v="1"/>
    <x v="0"/>
    <x v="42"/>
    <n v="3.7"/>
    <x v="4"/>
    <x v="1"/>
    <n v="6.6"/>
    <n v="7"/>
    <s v="Single"/>
    <n v="5"/>
    <x v="0"/>
    <x v="1"/>
    <x v="2"/>
    <s v="Average"/>
    <n v="0"/>
    <s v="Good"/>
    <n v="0.5787234042553191"/>
    <n v="0.64255319148936174"/>
    <n v="6.868936170212768"/>
    <n v="6.2269503546099294"/>
  </r>
  <r>
    <n v="44"/>
    <n v="20"/>
    <x v="0"/>
    <x v="0"/>
    <x v="43"/>
    <n v="4.5999999999999996"/>
    <x v="6"/>
    <x v="0"/>
    <n v="5.7"/>
    <n v="6"/>
    <s v="In Relationship"/>
    <n v="7"/>
    <x v="0"/>
    <x v="0"/>
    <x v="0"/>
    <s v="Poor"/>
    <n v="1"/>
    <s v="Average"/>
    <n v="0.5787234042553191"/>
    <n v="0.64255319148936174"/>
    <n v="6.868936170212768"/>
    <n v="6.2269503546099294"/>
  </r>
  <r>
    <n v="45"/>
    <n v="18"/>
    <x v="1"/>
    <x v="2"/>
    <x v="44"/>
    <n v="5.5"/>
    <x v="2"/>
    <x v="0"/>
    <n v="5.3"/>
    <n v="5"/>
    <s v="Single"/>
    <n v="8"/>
    <x v="2"/>
    <x v="0"/>
    <x v="0"/>
    <s v="Poor"/>
    <n v="1"/>
    <s v="Average"/>
    <n v="0.5787234042553191"/>
    <n v="0.64255319148936174"/>
    <n v="6.868936170212768"/>
    <n v="6.2269503546099294"/>
  </r>
  <r>
    <n v="46"/>
    <n v="23"/>
    <x v="0"/>
    <x v="1"/>
    <x v="45"/>
    <n v="2.7"/>
    <x v="5"/>
    <x v="1"/>
    <n v="7.1"/>
    <n v="8"/>
    <s v="Complicated"/>
    <n v="4"/>
    <x v="1"/>
    <x v="1"/>
    <x v="2"/>
    <s v="Healthy"/>
    <n v="0"/>
    <s v="Good"/>
    <n v="0.5787234042553191"/>
    <n v="0.64255319148936174"/>
    <n v="6.868936170212768"/>
    <n v="6.2269503546099294"/>
  </r>
  <r>
    <n v="47"/>
    <n v="19"/>
    <x v="1"/>
    <x v="0"/>
    <x v="46"/>
    <n v="4.8"/>
    <x v="0"/>
    <x v="0"/>
    <n v="5.9"/>
    <n v="6"/>
    <s v="In Relationship"/>
    <n v="7"/>
    <x v="0"/>
    <x v="0"/>
    <x v="0"/>
    <s v="Poor"/>
    <n v="1"/>
    <s v="Average"/>
    <n v="0.5787234042553191"/>
    <n v="0.64255319148936174"/>
    <n v="6.868936170212768"/>
    <n v="6.2269503546099294"/>
  </r>
  <r>
    <n v="48"/>
    <n v="20"/>
    <x v="0"/>
    <x v="0"/>
    <x v="47"/>
    <n v="5.5"/>
    <x v="2"/>
    <x v="0"/>
    <n v="5.6"/>
    <n v="5"/>
    <s v="Single"/>
    <n v="8"/>
    <x v="0"/>
    <x v="0"/>
    <x v="0"/>
    <s v="Poor"/>
    <n v="1"/>
    <s v="Average"/>
    <n v="0.5787234042553191"/>
    <n v="0.64255319148936174"/>
    <n v="6.868936170212768"/>
    <n v="6.2269503546099294"/>
  </r>
  <r>
    <n v="49"/>
    <n v="22"/>
    <x v="1"/>
    <x v="1"/>
    <x v="48"/>
    <n v="3.3"/>
    <x v="4"/>
    <x v="1"/>
    <n v="6.7"/>
    <n v="7"/>
    <s v="In Relationship"/>
    <n v="5"/>
    <x v="1"/>
    <x v="1"/>
    <x v="2"/>
    <s v="Average"/>
    <n v="0"/>
    <s v="Good"/>
    <n v="0.5787234042553191"/>
    <n v="0.64255319148936174"/>
    <n v="6.868936170212768"/>
    <n v="6.2269503546099294"/>
  </r>
  <r>
    <n v="50"/>
    <n v="19"/>
    <x v="0"/>
    <x v="2"/>
    <x v="49"/>
    <n v="6.3"/>
    <x v="0"/>
    <x v="0"/>
    <n v="5.2"/>
    <n v="5"/>
    <s v="Complicated"/>
    <n v="9"/>
    <x v="0"/>
    <x v="2"/>
    <x v="0"/>
    <s v="Poor"/>
    <n v="1"/>
    <s v="Average"/>
    <n v="0.5787234042553191"/>
    <n v="0.64255319148936174"/>
    <n v="6.868936170212768"/>
    <n v="6.2269503546099294"/>
  </r>
  <r>
    <n v="51"/>
    <n v="21"/>
    <x v="1"/>
    <x v="0"/>
    <x v="50"/>
    <n v="3.8"/>
    <x v="3"/>
    <x v="1"/>
    <n v="6.4"/>
    <n v="7"/>
    <s v="Single"/>
    <n v="6"/>
    <x v="0"/>
    <x v="1"/>
    <x v="2"/>
    <s v="Average"/>
    <n v="0"/>
    <s v="Good"/>
    <n v="0.5787234042553191"/>
    <n v="0.64255319148936174"/>
    <n v="6.868936170212768"/>
    <n v="6.2269503546099294"/>
  </r>
  <r>
    <n v="52"/>
    <n v="20"/>
    <x v="0"/>
    <x v="0"/>
    <x v="51"/>
    <n v="4.7"/>
    <x v="2"/>
    <x v="0"/>
    <n v="5.8"/>
    <n v="6"/>
    <s v="In Relationship"/>
    <n v="7"/>
    <x v="0"/>
    <x v="0"/>
    <x v="0"/>
    <s v="Poor"/>
    <n v="1"/>
    <s v="Average"/>
    <n v="0.5787234042553191"/>
    <n v="0.64255319148936174"/>
    <n v="6.868936170212768"/>
    <n v="6.2269503546099294"/>
  </r>
  <r>
    <n v="53"/>
    <n v="24"/>
    <x v="1"/>
    <x v="1"/>
    <x v="52"/>
    <n v="2.4"/>
    <x v="5"/>
    <x v="1"/>
    <n v="7.2"/>
    <n v="8"/>
    <s v="Complicated"/>
    <n v="4"/>
    <x v="1"/>
    <x v="1"/>
    <x v="2"/>
    <s v="Healthy"/>
    <n v="0"/>
    <s v="Good"/>
    <n v="0.5787234042553191"/>
    <n v="0.64255319148936174"/>
    <n v="6.868936170212768"/>
    <n v="6.2269503546099294"/>
  </r>
  <r>
    <n v="54"/>
    <n v="19"/>
    <x v="0"/>
    <x v="2"/>
    <x v="53"/>
    <n v="5.7"/>
    <x v="0"/>
    <x v="0"/>
    <n v="5.5"/>
    <n v="5"/>
    <s v="Single"/>
    <n v="8"/>
    <x v="0"/>
    <x v="0"/>
    <x v="0"/>
    <s v="Poor"/>
    <n v="1"/>
    <s v="Average"/>
    <n v="0.5787234042553191"/>
    <n v="0.64255319148936174"/>
    <n v="6.868936170212768"/>
    <n v="6.2269503546099294"/>
  </r>
  <r>
    <n v="55"/>
    <n v="21"/>
    <x v="1"/>
    <x v="0"/>
    <x v="54"/>
    <n v="3.6"/>
    <x v="4"/>
    <x v="1"/>
    <n v="6.5"/>
    <n v="7"/>
    <s v="In Relationship"/>
    <n v="5"/>
    <x v="0"/>
    <x v="1"/>
    <x v="2"/>
    <s v="Average"/>
    <n v="0"/>
    <s v="Good"/>
    <n v="0.5787234042553191"/>
    <n v="0.64255319148936174"/>
    <n v="6.868936170212768"/>
    <n v="6.2269503546099294"/>
  </r>
  <r>
    <n v="56"/>
    <n v="20"/>
    <x v="0"/>
    <x v="0"/>
    <x v="55"/>
    <n v="4.9000000000000004"/>
    <x v="6"/>
    <x v="0"/>
    <n v="5.6"/>
    <n v="6"/>
    <s v="Complicated"/>
    <n v="7"/>
    <x v="0"/>
    <x v="0"/>
    <x v="0"/>
    <s v="Poor"/>
    <n v="1"/>
    <s v="Average"/>
    <n v="0.5787234042553191"/>
    <n v="0.64255319148936174"/>
    <n v="6.868936170212768"/>
    <n v="6.2269503546099294"/>
  </r>
  <r>
    <n v="57"/>
    <n v="18"/>
    <x v="1"/>
    <x v="2"/>
    <x v="56"/>
    <n v="5.6"/>
    <x v="2"/>
    <x v="0"/>
    <n v="5.2"/>
    <n v="5"/>
    <s v="Single"/>
    <n v="8"/>
    <x v="2"/>
    <x v="0"/>
    <x v="0"/>
    <s v="Poor"/>
    <n v="1"/>
    <s v="Average"/>
    <n v="0.5787234042553191"/>
    <n v="0.64255319148936174"/>
    <n v="6.868936170212768"/>
    <n v="6.2269503546099294"/>
  </r>
  <r>
    <n v="58"/>
    <n v="23"/>
    <x v="0"/>
    <x v="1"/>
    <x v="57"/>
    <n v="2.8"/>
    <x v="5"/>
    <x v="1"/>
    <n v="7"/>
    <n v="8"/>
    <s v="In Relationship"/>
    <n v="4"/>
    <x v="1"/>
    <x v="1"/>
    <x v="2"/>
    <s v="Average"/>
    <n v="0"/>
    <s v="Good"/>
    <n v="0.5787234042553191"/>
    <n v="0.64255319148936174"/>
    <n v="6.868936170212768"/>
    <n v="6.2269503546099294"/>
  </r>
  <r>
    <n v="59"/>
    <n v="19"/>
    <x v="1"/>
    <x v="0"/>
    <x v="58"/>
    <n v="4.5999999999999996"/>
    <x v="0"/>
    <x v="0"/>
    <n v="5.9"/>
    <n v="6"/>
    <s v="Complicated"/>
    <n v="7"/>
    <x v="0"/>
    <x v="0"/>
    <x v="0"/>
    <s v="Poor"/>
    <n v="1"/>
    <s v="Average"/>
    <n v="0.5787234042553191"/>
    <n v="0.64255319148936174"/>
    <n v="6.868936170212768"/>
    <n v="6.2269503546099294"/>
  </r>
  <r>
    <n v="60"/>
    <n v="20"/>
    <x v="0"/>
    <x v="0"/>
    <x v="59"/>
    <n v="5.4"/>
    <x v="2"/>
    <x v="0"/>
    <n v="5.7"/>
    <n v="5"/>
    <s v="Single"/>
    <n v="8"/>
    <x v="0"/>
    <x v="0"/>
    <x v="0"/>
    <s v="Poor"/>
    <n v="1"/>
    <s v="Average"/>
    <n v="0.5787234042553191"/>
    <n v="0.64255319148936174"/>
    <n v="6.868936170212768"/>
    <n v="6.2269503546099294"/>
  </r>
  <r>
    <n v="61"/>
    <n v="22"/>
    <x v="1"/>
    <x v="1"/>
    <x v="60"/>
    <n v="3.1"/>
    <x v="4"/>
    <x v="1"/>
    <n v="7.1"/>
    <n v="7"/>
    <s v="Single"/>
    <n v="5"/>
    <x v="1"/>
    <x v="1"/>
    <x v="2"/>
    <s v="Healthy"/>
    <n v="0"/>
    <s v="Good"/>
    <n v="0.5787234042553191"/>
    <n v="0.64255319148936174"/>
    <n v="6.868936170212768"/>
    <n v="6.2269503546099294"/>
  </r>
  <r>
    <n v="62"/>
    <n v="19"/>
    <x v="0"/>
    <x v="0"/>
    <x v="61"/>
    <n v="5.6"/>
    <x v="0"/>
    <x v="0"/>
    <n v="5.6"/>
    <n v="5"/>
    <s v="In Relationship"/>
    <n v="8"/>
    <x v="0"/>
    <x v="0"/>
    <x v="0"/>
    <s v="Poor"/>
    <n v="1"/>
    <s v="Average"/>
    <n v="0.5787234042553191"/>
    <n v="0.64255319148936174"/>
    <n v="6.868936170212768"/>
    <n v="6.2269503546099294"/>
  </r>
  <r>
    <n v="63"/>
    <n v="20"/>
    <x v="1"/>
    <x v="0"/>
    <x v="62"/>
    <n v="4.2"/>
    <x v="2"/>
    <x v="0"/>
    <n v="6"/>
    <n v="6"/>
    <s v="Complicated"/>
    <n v="7"/>
    <x v="0"/>
    <x v="0"/>
    <x v="0"/>
    <s v="Average"/>
    <n v="1"/>
    <s v="Average"/>
    <n v="0.5787234042553191"/>
    <n v="0.64255319148936174"/>
    <n v="6.868936170212768"/>
    <n v="6.2269503546099294"/>
  </r>
  <r>
    <n v="64"/>
    <n v="18"/>
    <x v="0"/>
    <x v="2"/>
    <x v="63"/>
    <n v="6.1"/>
    <x v="6"/>
    <x v="0"/>
    <n v="5.2"/>
    <n v="4"/>
    <s v="Single"/>
    <n v="9"/>
    <x v="2"/>
    <x v="2"/>
    <x v="0"/>
    <s v="Poor"/>
    <n v="1"/>
    <s v="Poor"/>
    <n v="0.5787234042553191"/>
    <n v="0.64255319148936174"/>
    <n v="6.868936170212768"/>
    <n v="6.2269503546099294"/>
  </r>
  <r>
    <n v="65"/>
    <n v="23"/>
    <x v="1"/>
    <x v="1"/>
    <x v="64"/>
    <n v="2.2999999999999998"/>
    <x v="5"/>
    <x v="1"/>
    <n v="7.4"/>
    <n v="8"/>
    <s v="In Relationship"/>
    <n v="3"/>
    <x v="1"/>
    <x v="1"/>
    <x v="1"/>
    <s v="Healthy"/>
    <n v="0"/>
    <s v="Good"/>
    <n v="0.5787234042553191"/>
    <n v="0.64255319148936174"/>
    <n v="6.868936170212768"/>
    <n v="6.2269503546099294"/>
  </r>
  <r>
    <n v="66"/>
    <n v="21"/>
    <x v="0"/>
    <x v="0"/>
    <x v="65"/>
    <n v="4.8"/>
    <x v="0"/>
    <x v="0"/>
    <n v="5.8"/>
    <n v="6"/>
    <s v="Single"/>
    <n v="7"/>
    <x v="0"/>
    <x v="0"/>
    <x v="0"/>
    <s v="Poor"/>
    <n v="1"/>
    <s v="Average"/>
    <n v="0.5787234042553191"/>
    <n v="0.64255319148936174"/>
    <n v="6.868936170212768"/>
    <n v="6.2269503546099294"/>
  </r>
  <r>
    <n v="67"/>
    <n v="20"/>
    <x v="1"/>
    <x v="0"/>
    <x v="66"/>
    <n v="3.9"/>
    <x v="3"/>
    <x v="1"/>
    <n v="6.5"/>
    <n v="7"/>
    <s v="Complicated"/>
    <n v="6"/>
    <x v="0"/>
    <x v="1"/>
    <x v="2"/>
    <s v="Average"/>
    <n v="0"/>
    <s v="Good"/>
    <n v="0.5787234042553191"/>
    <n v="0.64255319148936174"/>
    <n v="6.868936170212768"/>
    <n v="6.2269503546099294"/>
  </r>
  <r>
    <n v="68"/>
    <n v="19"/>
    <x v="0"/>
    <x v="2"/>
    <x v="67"/>
    <n v="5.7"/>
    <x v="2"/>
    <x v="0"/>
    <n v="5.4"/>
    <n v="5"/>
    <s v="In Relationship"/>
    <n v="8"/>
    <x v="0"/>
    <x v="0"/>
    <x v="0"/>
    <s v="Poor"/>
    <n v="1"/>
    <s v="Average"/>
    <n v="0.5787234042553191"/>
    <n v="0.64255319148936174"/>
    <n v="6.868936170212768"/>
    <n v="6.2269503546099294"/>
  </r>
  <r>
    <n v="69"/>
    <n v="22"/>
    <x v="1"/>
    <x v="1"/>
    <x v="68"/>
    <n v="2.8"/>
    <x v="5"/>
    <x v="1"/>
    <n v="7.2"/>
    <n v="8"/>
    <s v="Single"/>
    <n v="4"/>
    <x v="1"/>
    <x v="1"/>
    <x v="2"/>
    <s v="Healthy"/>
    <n v="0"/>
    <s v="Good"/>
    <n v="0.5787234042553191"/>
    <n v="0.64255319148936174"/>
    <n v="6.868936170212768"/>
    <n v="6.2269503546099294"/>
  </r>
  <r>
    <n v="70"/>
    <n v="20"/>
    <x v="0"/>
    <x v="0"/>
    <x v="69"/>
    <n v="4.5"/>
    <x v="0"/>
    <x v="0"/>
    <n v="5.9"/>
    <n v="6"/>
    <s v="Complicated"/>
    <n v="7"/>
    <x v="0"/>
    <x v="0"/>
    <x v="0"/>
    <s v="Poor"/>
    <n v="1"/>
    <s v="Average"/>
    <n v="0.5787234042553191"/>
    <n v="0.64255319148936174"/>
    <n v="6.868936170212768"/>
    <n v="6.2269503546099294"/>
  </r>
  <r>
    <n v="71"/>
    <n v="18"/>
    <x v="1"/>
    <x v="2"/>
    <x v="70"/>
    <n v="5.4"/>
    <x v="6"/>
    <x v="0"/>
    <n v="5.5"/>
    <n v="5"/>
    <s v="Single"/>
    <n v="8"/>
    <x v="2"/>
    <x v="0"/>
    <x v="0"/>
    <s v="Poor"/>
    <n v="1"/>
    <s v="Average"/>
    <n v="0.5787234042553191"/>
    <n v="0.64255319148936174"/>
    <n v="6.868936170212768"/>
    <n v="6.2269503546099294"/>
  </r>
  <r>
    <n v="72"/>
    <n v="21"/>
    <x v="0"/>
    <x v="1"/>
    <x v="71"/>
    <n v="3.2"/>
    <x v="4"/>
    <x v="1"/>
    <n v="6.8"/>
    <n v="7"/>
    <s v="In Relationship"/>
    <n v="5"/>
    <x v="0"/>
    <x v="1"/>
    <x v="2"/>
    <s v="Average"/>
    <n v="0"/>
    <s v="Good"/>
    <n v="0.5787234042553191"/>
    <n v="0.64255319148936174"/>
    <n v="6.868936170212768"/>
    <n v="6.2269503546099294"/>
  </r>
  <r>
    <n v="73"/>
    <n v="19"/>
    <x v="1"/>
    <x v="0"/>
    <x v="72"/>
    <n v="4.9000000000000004"/>
    <x v="2"/>
    <x v="0"/>
    <n v="5.7"/>
    <n v="6"/>
    <s v="Complicated"/>
    <n v="7"/>
    <x v="0"/>
    <x v="0"/>
    <x v="0"/>
    <s v="Poor"/>
    <n v="1"/>
    <s v="Average"/>
    <n v="0.5787234042553191"/>
    <n v="0.64255319148936174"/>
    <n v="6.868936170212768"/>
    <n v="6.2269503546099294"/>
  </r>
  <r>
    <n v="74"/>
    <n v="20"/>
    <x v="0"/>
    <x v="0"/>
    <x v="73"/>
    <n v="5.8"/>
    <x v="0"/>
    <x v="0"/>
    <n v="5.3"/>
    <n v="5"/>
    <s v="Single"/>
    <n v="8"/>
    <x v="0"/>
    <x v="0"/>
    <x v="0"/>
    <s v="Poor"/>
    <n v="1"/>
    <s v="Average"/>
    <n v="0.5787234042553191"/>
    <n v="0.64255319148936174"/>
    <n v="6.868936170212768"/>
    <n v="6.2269503546099294"/>
  </r>
  <r>
    <n v="75"/>
    <n v="23"/>
    <x v="1"/>
    <x v="1"/>
    <x v="74"/>
    <n v="2.5"/>
    <x v="5"/>
    <x v="1"/>
    <n v="7.3"/>
    <n v="8"/>
    <s v="In Relationship"/>
    <n v="4"/>
    <x v="1"/>
    <x v="1"/>
    <x v="2"/>
    <s v="Healthy"/>
    <n v="0"/>
    <s v="Good"/>
    <n v="0.5787234042553191"/>
    <n v="0.64255319148936174"/>
    <n v="6.868936170212768"/>
    <n v="6.2269503546099294"/>
  </r>
  <r>
    <n v="76"/>
    <n v="21"/>
    <x v="0"/>
    <x v="0"/>
    <x v="75"/>
    <n v="4.5999999999999996"/>
    <x v="6"/>
    <x v="0"/>
    <n v="5.8"/>
    <n v="6"/>
    <s v="Single"/>
    <n v="7"/>
    <x v="0"/>
    <x v="0"/>
    <x v="0"/>
    <s v="Poor"/>
    <n v="1"/>
    <s v="Average"/>
    <n v="0.5787234042553191"/>
    <n v="0.64255319148936174"/>
    <n v="6.868936170212768"/>
    <n v="6.2269503546099294"/>
  </r>
  <r>
    <n v="77"/>
    <n v="19"/>
    <x v="1"/>
    <x v="2"/>
    <x v="76"/>
    <n v="5.5"/>
    <x v="2"/>
    <x v="0"/>
    <n v="5.4"/>
    <n v="5"/>
    <s v="Complicated"/>
    <n v="8"/>
    <x v="0"/>
    <x v="0"/>
    <x v="0"/>
    <s v="Poor"/>
    <n v="1"/>
    <s v="Average"/>
    <n v="0.5787234042553191"/>
    <n v="0.64255319148936174"/>
    <n v="6.868936170212768"/>
    <n v="6.2269503546099294"/>
  </r>
  <r>
    <n v="78"/>
    <n v="22"/>
    <x v="0"/>
    <x v="1"/>
    <x v="77"/>
    <n v="2.9"/>
    <x v="4"/>
    <x v="1"/>
    <n v="7"/>
    <n v="7"/>
    <s v="In Relationship"/>
    <n v="5"/>
    <x v="1"/>
    <x v="1"/>
    <x v="2"/>
    <s v="Average"/>
    <n v="0"/>
    <s v="Good"/>
    <n v="0.5787234042553191"/>
    <n v="0.64255319148936174"/>
    <n v="6.868936170212768"/>
    <n v="6.2269503546099294"/>
  </r>
  <r>
    <n v="79"/>
    <n v="20"/>
    <x v="1"/>
    <x v="0"/>
    <x v="78"/>
    <n v="4.7"/>
    <x v="3"/>
    <x v="0"/>
    <n v="5.9"/>
    <n v="6"/>
    <s v="Single"/>
    <n v="7"/>
    <x v="0"/>
    <x v="0"/>
    <x v="0"/>
    <s v="Poor"/>
    <n v="1"/>
    <s v="Average"/>
    <n v="0.5787234042553191"/>
    <n v="0.64255319148936174"/>
    <n v="6.868936170212768"/>
    <n v="6.2269503546099294"/>
  </r>
  <r>
    <n v="80"/>
    <n v="18"/>
    <x v="0"/>
    <x v="2"/>
    <x v="79"/>
    <n v="5.9"/>
    <x v="0"/>
    <x v="0"/>
    <n v="5.2"/>
    <n v="5"/>
    <s v="Complicated"/>
    <n v="9"/>
    <x v="2"/>
    <x v="0"/>
    <x v="0"/>
    <s v="Poor"/>
    <n v="1"/>
    <s v="Average"/>
    <n v="0.5787234042553191"/>
    <n v="0.64255319148936174"/>
    <n v="6.868936170212768"/>
    <n v="6.2269503546099294"/>
  </r>
  <r>
    <n v="81"/>
    <n v="21"/>
    <x v="1"/>
    <x v="1"/>
    <x v="80"/>
    <n v="3"/>
    <x v="5"/>
    <x v="1"/>
    <n v="7.1"/>
    <n v="8"/>
    <s v="In Relationship"/>
    <n v="4"/>
    <x v="0"/>
    <x v="1"/>
    <x v="2"/>
    <s v="Healthy"/>
    <n v="0"/>
    <s v="Good"/>
    <n v="0.5787234042553191"/>
    <n v="0.64255319148936174"/>
    <n v="6.868936170212768"/>
    <n v="6.2269503546099294"/>
  </r>
  <r>
    <n v="82"/>
    <n v="19"/>
    <x v="0"/>
    <x v="0"/>
    <x v="81"/>
    <n v="4.8"/>
    <x v="2"/>
    <x v="0"/>
    <n v="5.7"/>
    <n v="6"/>
    <s v="Single"/>
    <n v="7"/>
    <x v="0"/>
    <x v="0"/>
    <x v="0"/>
    <s v="Poor"/>
    <n v="1"/>
    <s v="Average"/>
    <n v="0.5787234042553191"/>
    <n v="0.64255319148936174"/>
    <n v="6.868936170212768"/>
    <n v="6.2269503546099294"/>
  </r>
  <r>
    <n v="83"/>
    <n v="20"/>
    <x v="1"/>
    <x v="0"/>
    <x v="82"/>
    <n v="3.8"/>
    <x v="4"/>
    <x v="1"/>
    <n v="6.6"/>
    <n v="7"/>
    <s v="Complicated"/>
    <n v="6"/>
    <x v="0"/>
    <x v="1"/>
    <x v="2"/>
    <s v="Average"/>
    <n v="0"/>
    <s v="Good"/>
    <n v="0.5787234042553191"/>
    <n v="0.64255319148936174"/>
    <n v="6.868936170212768"/>
    <n v="6.2269503546099294"/>
  </r>
  <r>
    <n v="84"/>
    <n v="22"/>
    <x v="0"/>
    <x v="1"/>
    <x v="83"/>
    <n v="2.7"/>
    <x v="5"/>
    <x v="1"/>
    <n v="7.2"/>
    <n v="8"/>
    <s v="In Relationship"/>
    <n v="4"/>
    <x v="1"/>
    <x v="1"/>
    <x v="2"/>
    <s v="Healthy"/>
    <n v="0"/>
    <s v="Good"/>
    <n v="0.5787234042553191"/>
    <n v="0.64255319148936174"/>
    <n v="6.868936170212768"/>
    <n v="6.2269503546099294"/>
  </r>
  <r>
    <n v="85"/>
    <n v="18"/>
    <x v="1"/>
    <x v="2"/>
    <x v="84"/>
    <n v="5.6"/>
    <x v="6"/>
    <x v="0"/>
    <n v="5.3"/>
    <n v="5"/>
    <s v="Single"/>
    <n v="8"/>
    <x v="2"/>
    <x v="0"/>
    <x v="0"/>
    <s v="Poor"/>
    <n v="1"/>
    <s v="Average"/>
    <n v="0.5787234042553191"/>
    <n v="0.64255319148936174"/>
    <n v="6.868936170212768"/>
    <n v="6.2269503546099294"/>
  </r>
  <r>
    <n v="86"/>
    <n v="21"/>
    <x v="0"/>
    <x v="0"/>
    <x v="85"/>
    <n v="4.5"/>
    <x v="0"/>
    <x v="0"/>
    <n v="5.8"/>
    <n v="6"/>
    <s v="Complicated"/>
    <n v="7"/>
    <x v="0"/>
    <x v="0"/>
    <x v="0"/>
    <s v="Poor"/>
    <n v="1"/>
    <s v="Average"/>
    <n v="0.5787234042553191"/>
    <n v="0.64255319148936174"/>
    <n v="6.868936170212768"/>
    <n v="6.2269503546099294"/>
  </r>
  <r>
    <n v="87"/>
    <n v="19"/>
    <x v="1"/>
    <x v="2"/>
    <x v="86"/>
    <n v="5.3"/>
    <x v="2"/>
    <x v="0"/>
    <n v="5.5"/>
    <n v="5"/>
    <s v="In Relationship"/>
    <n v="8"/>
    <x v="0"/>
    <x v="0"/>
    <x v="0"/>
    <s v="Poor"/>
    <n v="1"/>
    <s v="Average"/>
    <n v="0.5787234042553191"/>
    <n v="0.64255319148936174"/>
    <n v="6.868936170212768"/>
    <n v="6.2269503546099294"/>
  </r>
  <r>
    <n v="88"/>
    <n v="23"/>
    <x v="0"/>
    <x v="1"/>
    <x v="87"/>
    <n v="2.6"/>
    <x v="5"/>
    <x v="1"/>
    <n v="7.3"/>
    <n v="8"/>
    <s v="Single"/>
    <n v="4"/>
    <x v="1"/>
    <x v="1"/>
    <x v="2"/>
    <s v="Healthy"/>
    <n v="0"/>
    <s v="Good"/>
    <n v="0.5787234042553191"/>
    <n v="0.64255319148936174"/>
    <n v="6.868936170212768"/>
    <n v="6.2269503546099294"/>
  </r>
  <r>
    <n v="89"/>
    <n v="20"/>
    <x v="1"/>
    <x v="0"/>
    <x v="88"/>
    <n v="4.4000000000000004"/>
    <x v="3"/>
    <x v="0"/>
    <n v="6"/>
    <n v="6"/>
    <s v="Complicated"/>
    <n v="7"/>
    <x v="0"/>
    <x v="0"/>
    <x v="0"/>
    <s v="Average"/>
    <n v="1"/>
    <s v="Average"/>
    <n v="0.5787234042553191"/>
    <n v="0.64255319148936174"/>
    <n v="6.868936170212768"/>
    <n v="6.2269503546099294"/>
  </r>
  <r>
    <n v="90"/>
    <n v="18"/>
    <x v="0"/>
    <x v="2"/>
    <x v="89"/>
    <n v="5.8"/>
    <x v="0"/>
    <x v="0"/>
    <n v="5.2"/>
    <n v="5"/>
    <s v="Single"/>
    <n v="9"/>
    <x v="2"/>
    <x v="0"/>
    <x v="0"/>
    <s v="Poor"/>
    <n v="1"/>
    <s v="Average"/>
    <n v="0.5787234042553191"/>
    <n v="0.64255319148936174"/>
    <n v="6.868936170212768"/>
    <n v="6.2269503546099294"/>
  </r>
  <r>
    <n v="91"/>
    <n v="22"/>
    <x v="1"/>
    <x v="1"/>
    <x v="90"/>
    <n v="2.9"/>
    <x v="4"/>
    <x v="1"/>
    <n v="7"/>
    <n v="7"/>
    <s v="In Relationship"/>
    <n v="5"/>
    <x v="1"/>
    <x v="1"/>
    <x v="2"/>
    <s v="Average"/>
    <n v="0"/>
    <s v="Good"/>
    <n v="0.5787234042553191"/>
    <n v="0.64255319148936174"/>
    <n v="6.868936170212768"/>
    <n v="6.2269503546099294"/>
  </r>
  <r>
    <n v="92"/>
    <n v="19"/>
    <x v="0"/>
    <x v="0"/>
    <x v="91"/>
    <n v="4.7"/>
    <x v="2"/>
    <x v="0"/>
    <n v="5.8"/>
    <n v="6"/>
    <s v="Complicated"/>
    <n v="7"/>
    <x v="0"/>
    <x v="0"/>
    <x v="0"/>
    <s v="Poor"/>
    <n v="1"/>
    <s v="Average"/>
    <n v="0.5787234042553191"/>
    <n v="0.64255319148936174"/>
    <n v="6.868936170212768"/>
    <n v="6.2269503546099294"/>
  </r>
  <r>
    <n v="93"/>
    <n v="21"/>
    <x v="1"/>
    <x v="0"/>
    <x v="92"/>
    <n v="3.7"/>
    <x v="6"/>
    <x v="1"/>
    <n v="6.5"/>
    <n v="7"/>
    <s v="Single"/>
    <n v="6"/>
    <x v="0"/>
    <x v="1"/>
    <x v="2"/>
    <s v="Average"/>
    <n v="0"/>
    <s v="Good"/>
    <n v="0.5787234042553191"/>
    <n v="0.64255319148936174"/>
    <n v="6.868936170212768"/>
    <n v="6.2269503546099294"/>
  </r>
  <r>
    <n v="94"/>
    <n v="20"/>
    <x v="0"/>
    <x v="2"/>
    <x v="93"/>
    <n v="5.5"/>
    <x v="0"/>
    <x v="0"/>
    <n v="5.4"/>
    <n v="5"/>
    <s v="In Relationship"/>
    <n v="8"/>
    <x v="0"/>
    <x v="0"/>
    <x v="0"/>
    <s v="Poor"/>
    <n v="1"/>
    <s v="Average"/>
    <n v="0.5787234042553191"/>
    <n v="0.64255319148936174"/>
    <n v="6.868936170212768"/>
    <n v="6.2269503546099294"/>
  </r>
  <r>
    <n v="95"/>
    <n v="23"/>
    <x v="1"/>
    <x v="1"/>
    <x v="94"/>
    <n v="2.4"/>
    <x v="5"/>
    <x v="1"/>
    <n v="7.4"/>
    <n v="8"/>
    <s v="Complicated"/>
    <n v="4"/>
    <x v="1"/>
    <x v="1"/>
    <x v="2"/>
    <s v="Healthy"/>
    <n v="0"/>
    <s v="Good"/>
    <n v="0.5787234042553191"/>
    <n v="0.64255319148936174"/>
    <n v="6.868936170212768"/>
    <n v="6.2269503546099294"/>
  </r>
  <r>
    <n v="96"/>
    <n v="19"/>
    <x v="0"/>
    <x v="0"/>
    <x v="95"/>
    <n v="4.9000000000000004"/>
    <x v="2"/>
    <x v="0"/>
    <n v="5.7"/>
    <n v="6"/>
    <s v="Single"/>
    <n v="7"/>
    <x v="0"/>
    <x v="0"/>
    <x v="0"/>
    <s v="Poor"/>
    <n v="1"/>
    <s v="Average"/>
    <n v="0.5787234042553191"/>
    <n v="0.64255319148936174"/>
    <n v="6.868936170212768"/>
    <n v="6.2269503546099294"/>
  </r>
  <r>
    <n v="97"/>
    <n v="18"/>
    <x v="1"/>
    <x v="2"/>
    <x v="96"/>
    <n v="5.7"/>
    <x v="6"/>
    <x v="0"/>
    <n v="5.3"/>
    <n v="5"/>
    <s v="In Relationship"/>
    <n v="8"/>
    <x v="2"/>
    <x v="0"/>
    <x v="0"/>
    <s v="Poor"/>
    <n v="1"/>
    <s v="Average"/>
    <n v="0.5787234042553191"/>
    <n v="0.64255319148936174"/>
    <n v="6.868936170212768"/>
    <n v="6.2269503546099294"/>
  </r>
  <r>
    <n v="98"/>
    <n v="22"/>
    <x v="0"/>
    <x v="1"/>
    <x v="97"/>
    <n v="2.8"/>
    <x v="5"/>
    <x v="1"/>
    <n v="7.1"/>
    <n v="8"/>
    <s v="Complicated"/>
    <n v="4"/>
    <x v="1"/>
    <x v="1"/>
    <x v="2"/>
    <s v="Healthy"/>
    <n v="0"/>
    <s v="Good"/>
    <n v="0.5787234042553191"/>
    <n v="0.64255319148936174"/>
    <n v="6.868936170212768"/>
    <n v="6.2269503546099294"/>
  </r>
  <r>
    <n v="99"/>
    <n v="20"/>
    <x v="1"/>
    <x v="0"/>
    <x v="98"/>
    <n v="4.5999999999999996"/>
    <x v="0"/>
    <x v="0"/>
    <n v="5.9"/>
    <n v="6"/>
    <s v="Single"/>
    <n v="7"/>
    <x v="0"/>
    <x v="0"/>
    <x v="0"/>
    <s v="Poor"/>
    <n v="1"/>
    <s v="Average"/>
    <n v="0.5787234042553191"/>
    <n v="0.64255319148936174"/>
    <n v="6.868936170212768"/>
    <n v="6.2269503546099294"/>
  </r>
  <r>
    <n v="100"/>
    <n v="21"/>
    <x v="0"/>
    <x v="0"/>
    <x v="99"/>
    <n v="5.4"/>
    <x v="2"/>
    <x v="0"/>
    <n v="5.5"/>
    <n v="5"/>
    <s v="In Relationship"/>
    <n v="8"/>
    <x v="0"/>
    <x v="0"/>
    <x v="0"/>
    <s v="Poor"/>
    <n v="1"/>
    <s v="Average"/>
    <n v="0.5787234042553191"/>
    <n v="0.64255319148936174"/>
    <n v="6.868936170212768"/>
    <n v="6.2269503546099294"/>
  </r>
  <r>
    <n v="101"/>
    <n v="19"/>
    <x v="1"/>
    <x v="2"/>
    <x v="100"/>
    <n v="5.8"/>
    <x v="3"/>
    <x v="0"/>
    <n v="5.2"/>
    <n v="5"/>
    <s v="Complicated"/>
    <n v="9"/>
    <x v="0"/>
    <x v="0"/>
    <x v="0"/>
    <s v="Poor"/>
    <n v="1"/>
    <s v="Average"/>
    <n v="0.5787234042553191"/>
    <n v="0.64255319148936174"/>
    <n v="6.868936170212768"/>
    <n v="6.2269503546099294"/>
  </r>
  <r>
    <n v="102"/>
    <n v="23"/>
    <x v="0"/>
    <x v="1"/>
    <x v="101"/>
    <n v="2.5"/>
    <x v="5"/>
    <x v="1"/>
    <n v="7.3"/>
    <n v="8"/>
    <s v="Single"/>
    <n v="4"/>
    <x v="1"/>
    <x v="1"/>
    <x v="2"/>
    <s v="Healthy"/>
    <n v="0"/>
    <s v="Good"/>
    <n v="0.5787234042553191"/>
    <n v="0.64255319148936174"/>
    <n v="6.868936170212768"/>
    <n v="6.2269503546099294"/>
  </r>
  <r>
    <n v="103"/>
    <n v="20"/>
    <x v="1"/>
    <x v="0"/>
    <x v="102"/>
    <n v="4.7"/>
    <x v="4"/>
    <x v="0"/>
    <n v="5.8"/>
    <n v="6"/>
    <s v="In Relationship"/>
    <n v="7"/>
    <x v="0"/>
    <x v="0"/>
    <x v="0"/>
    <s v="Poor"/>
    <n v="1"/>
    <s v="Average"/>
    <n v="0.5787234042553191"/>
    <n v="0.64255319148936174"/>
    <n v="6.868936170212768"/>
    <n v="6.2269503546099294"/>
  </r>
  <r>
    <n v="104"/>
    <n v="18"/>
    <x v="0"/>
    <x v="2"/>
    <x v="103"/>
    <n v="5.6"/>
    <x v="0"/>
    <x v="0"/>
    <n v="5.4"/>
    <n v="5"/>
    <s v="Single"/>
    <n v="8"/>
    <x v="2"/>
    <x v="0"/>
    <x v="0"/>
    <s v="Poor"/>
    <n v="1"/>
    <s v="Average"/>
    <n v="0.5787234042553191"/>
    <n v="0.64255319148936174"/>
    <n v="6.868936170212768"/>
    <n v="6.2269503546099294"/>
  </r>
  <r>
    <n v="105"/>
    <n v="22"/>
    <x v="1"/>
    <x v="1"/>
    <x v="104"/>
    <n v="2.9"/>
    <x v="5"/>
    <x v="1"/>
    <n v="7"/>
    <n v="7"/>
    <s v="Complicated"/>
    <n v="5"/>
    <x v="1"/>
    <x v="1"/>
    <x v="2"/>
    <s v="Average"/>
    <n v="0"/>
    <s v="Good"/>
    <n v="0.5787234042553191"/>
    <n v="0.64255319148936174"/>
    <n v="6.868936170212768"/>
    <n v="6.2269503546099294"/>
  </r>
  <r>
    <n v="106"/>
    <n v="19"/>
    <x v="0"/>
    <x v="0"/>
    <x v="105"/>
    <n v="4.8"/>
    <x v="2"/>
    <x v="0"/>
    <n v="5.7"/>
    <n v="6"/>
    <s v="In Relationship"/>
    <n v="7"/>
    <x v="0"/>
    <x v="0"/>
    <x v="0"/>
    <s v="Poor"/>
    <n v="1"/>
    <s v="Average"/>
    <n v="0.5787234042553191"/>
    <n v="0.64255319148936174"/>
    <n v="6.868936170212768"/>
    <n v="6.2269503546099294"/>
  </r>
  <r>
    <n v="107"/>
    <n v="21"/>
    <x v="1"/>
    <x v="0"/>
    <x v="106"/>
    <n v="3.8"/>
    <x v="3"/>
    <x v="1"/>
    <n v="6.6"/>
    <n v="7"/>
    <s v="Single"/>
    <n v="6"/>
    <x v="0"/>
    <x v="1"/>
    <x v="2"/>
    <s v="Average"/>
    <n v="0"/>
    <s v="Good"/>
    <n v="0.5787234042553191"/>
    <n v="0.64255319148936174"/>
    <n v="6.868936170212768"/>
    <n v="6.2269503546099294"/>
  </r>
  <r>
    <n v="108"/>
    <n v="20"/>
    <x v="0"/>
    <x v="2"/>
    <x v="107"/>
    <n v="5.5"/>
    <x v="6"/>
    <x v="0"/>
    <n v="5.5"/>
    <n v="5"/>
    <s v="Complicated"/>
    <n v="8"/>
    <x v="0"/>
    <x v="0"/>
    <x v="0"/>
    <s v="Poor"/>
    <n v="1"/>
    <s v="Average"/>
    <n v="0.5787234042553191"/>
    <n v="0.64255319148936174"/>
    <n v="6.868936170212768"/>
    <n v="6.2269503546099294"/>
  </r>
  <r>
    <n v="109"/>
    <n v="23"/>
    <x v="1"/>
    <x v="1"/>
    <x v="108"/>
    <n v="2.6"/>
    <x v="5"/>
    <x v="1"/>
    <n v="7.2"/>
    <n v="8"/>
    <s v="In Relationship"/>
    <n v="4"/>
    <x v="1"/>
    <x v="1"/>
    <x v="2"/>
    <s v="Healthy"/>
    <n v="0"/>
    <s v="Good"/>
    <n v="0.5787234042553191"/>
    <n v="0.64255319148936174"/>
    <n v="6.868936170212768"/>
    <n v="6.2269503546099294"/>
  </r>
  <r>
    <n v="110"/>
    <n v="19"/>
    <x v="0"/>
    <x v="0"/>
    <x v="109"/>
    <n v="4.9000000000000004"/>
    <x v="0"/>
    <x v="0"/>
    <n v="5.8"/>
    <n v="6"/>
    <s v="Single"/>
    <n v="7"/>
    <x v="0"/>
    <x v="0"/>
    <x v="0"/>
    <s v="Poor"/>
    <n v="1"/>
    <s v="Average"/>
    <n v="0.5787234042553191"/>
    <n v="0.64255319148936174"/>
    <n v="6.868936170212768"/>
    <n v="6.2269503546099294"/>
  </r>
  <r>
    <n v="111"/>
    <n v="20"/>
    <x v="1"/>
    <x v="0"/>
    <x v="0"/>
    <n v="6.1"/>
    <x v="0"/>
    <x v="0"/>
    <n v="6.2"/>
    <n v="5"/>
    <s v="Single"/>
    <n v="8"/>
    <x v="0"/>
    <x v="2"/>
    <x v="0"/>
    <s v="Average"/>
    <n v="1"/>
    <s v="Average"/>
    <n v="0.5787234042553191"/>
    <n v="0.64255319148936174"/>
    <n v="6.868936170212768"/>
    <n v="6.2269503546099294"/>
  </r>
  <r>
    <n v="112"/>
    <n v="21"/>
    <x v="0"/>
    <x v="0"/>
    <x v="1"/>
    <n v="5.8"/>
    <x v="2"/>
    <x v="0"/>
    <n v="5.9"/>
    <n v="6"/>
    <s v="In Relationship"/>
    <n v="7"/>
    <x v="0"/>
    <x v="0"/>
    <x v="0"/>
    <s v="Poor"/>
    <n v="1"/>
    <s v="Average"/>
    <n v="0.5787234042553191"/>
    <n v="0.64255319148936174"/>
    <n v="6.868936170212768"/>
    <n v="6.2269503546099294"/>
  </r>
  <r>
    <n v="113"/>
    <n v="19"/>
    <x v="1"/>
    <x v="0"/>
    <x v="106"/>
    <n v="4.9000000000000004"/>
    <x v="4"/>
    <x v="1"/>
    <n v="7.1"/>
    <n v="7"/>
    <s v="Single"/>
    <n v="5"/>
    <x v="0"/>
    <x v="0"/>
    <x v="2"/>
    <s v="Healthy"/>
    <n v="0"/>
    <s v="Good"/>
    <n v="0.5787234042553191"/>
    <n v="0.64255319148936174"/>
    <n v="6.868936170212768"/>
    <n v="6.2269503546099294"/>
  </r>
  <r>
    <n v="114"/>
    <n v="22"/>
    <x v="0"/>
    <x v="1"/>
    <x v="105"/>
    <n v="5.5"/>
    <x v="0"/>
    <x v="0"/>
    <n v="6"/>
    <n v="5"/>
    <s v="Single"/>
    <n v="8"/>
    <x v="1"/>
    <x v="0"/>
    <x v="0"/>
    <s v="Average"/>
    <n v="1"/>
    <s v="Average"/>
    <n v="0.5787234042553191"/>
    <n v="0.64255319148936174"/>
    <n v="6.868936170212768"/>
    <n v="6.2269503546099294"/>
  </r>
  <r>
    <n v="115"/>
    <n v="20"/>
    <x v="1"/>
    <x v="0"/>
    <x v="108"/>
    <n v="5.2"/>
    <x v="2"/>
    <x v="0"/>
    <n v="6.3"/>
    <n v="6"/>
    <s v="In Relationship"/>
    <n v="7"/>
    <x v="0"/>
    <x v="0"/>
    <x v="0"/>
    <s v="Average"/>
    <n v="1"/>
    <s v="Average"/>
    <n v="0.5787234042553191"/>
    <n v="0.64255319148936174"/>
    <n v="6.868936170212768"/>
    <n v="6.2269503546099294"/>
  </r>
  <r>
    <n v="116"/>
    <n v="19"/>
    <x v="0"/>
    <x v="0"/>
    <x v="109"/>
    <n v="4.8"/>
    <x v="0"/>
    <x v="1"/>
    <n v="7.2"/>
    <n v="8"/>
    <s v="Single"/>
    <n v="5"/>
    <x v="0"/>
    <x v="0"/>
    <x v="2"/>
    <s v="Healthy"/>
    <n v="0"/>
    <s v="Good"/>
    <n v="0.5787234042553191"/>
    <n v="0.64255319148936174"/>
    <n v="6.868936170212768"/>
    <n v="6.2269503546099294"/>
  </r>
  <r>
    <n v="117"/>
    <n v="21"/>
    <x v="1"/>
    <x v="1"/>
    <x v="0"/>
    <n v="6"/>
    <x v="4"/>
    <x v="0"/>
    <n v="5.8"/>
    <n v="5"/>
    <s v="In Relationship"/>
    <n v="8"/>
    <x v="0"/>
    <x v="2"/>
    <x v="0"/>
    <s v="Poor"/>
    <n v="1"/>
    <s v="Average"/>
    <n v="0.5787234042553191"/>
    <n v="0.64255319148936174"/>
    <n v="6.868936170212768"/>
    <n v="6.2269503546099294"/>
  </r>
  <r>
    <n v="118"/>
    <n v="20"/>
    <x v="0"/>
    <x v="0"/>
    <x v="1"/>
    <n v="5.7"/>
    <x v="0"/>
    <x v="0"/>
    <n v="6.1"/>
    <n v="6"/>
    <s v="Single"/>
    <n v="7"/>
    <x v="0"/>
    <x v="0"/>
    <x v="0"/>
    <s v="Average"/>
    <n v="1"/>
    <s v="Average"/>
    <n v="0.5787234042553191"/>
    <n v="0.64255319148936174"/>
    <n v="6.868936170212768"/>
    <n v="6.2269503546099294"/>
  </r>
  <r>
    <n v="119"/>
    <n v="22"/>
    <x v="1"/>
    <x v="1"/>
    <x v="106"/>
    <n v="4.7"/>
    <x v="2"/>
    <x v="1"/>
    <n v="7.3"/>
    <n v="7"/>
    <s v="Single"/>
    <n v="5"/>
    <x v="1"/>
    <x v="0"/>
    <x v="2"/>
    <s v="Healthy"/>
    <n v="0"/>
    <s v="Good"/>
    <n v="0.5787234042553191"/>
    <n v="0.64255319148936174"/>
    <n v="6.868936170212768"/>
    <n v="6.2269503546099294"/>
  </r>
  <r>
    <n v="120"/>
    <n v="19"/>
    <x v="0"/>
    <x v="0"/>
    <x v="105"/>
    <n v="5.4"/>
    <x v="0"/>
    <x v="0"/>
    <n v="6.2"/>
    <n v="5"/>
    <s v="In Relationship"/>
    <n v="8"/>
    <x v="0"/>
    <x v="0"/>
    <x v="0"/>
    <s v="Average"/>
    <n v="1"/>
    <s v="Average"/>
    <n v="0.5787234042553191"/>
    <n v="0.64255319148936174"/>
    <n v="6.868936170212768"/>
    <n v="6.2269503546099294"/>
  </r>
  <r>
    <n v="121"/>
    <n v="20"/>
    <x v="1"/>
    <x v="0"/>
    <x v="108"/>
    <n v="5.9"/>
    <x v="4"/>
    <x v="0"/>
    <n v="5.9"/>
    <n v="6"/>
    <s v="Single"/>
    <n v="7"/>
    <x v="0"/>
    <x v="0"/>
    <x v="0"/>
    <s v="Poor"/>
    <n v="1"/>
    <s v="Average"/>
    <n v="0.5787234042553191"/>
    <n v="0.64255319148936174"/>
    <n v="6.868936170212768"/>
    <n v="6.2269503546099294"/>
  </r>
  <r>
    <n v="122"/>
    <n v="21"/>
    <x v="0"/>
    <x v="1"/>
    <x v="109"/>
    <n v="4.5999999999999996"/>
    <x v="0"/>
    <x v="1"/>
    <n v="7.4"/>
    <n v="8"/>
    <s v="In Relationship"/>
    <n v="5"/>
    <x v="0"/>
    <x v="0"/>
    <x v="2"/>
    <s v="Healthy"/>
    <n v="0"/>
    <s v="Good"/>
    <n v="0.5787234042553191"/>
    <n v="0.64255319148936174"/>
    <n v="6.868936170212768"/>
    <n v="6.2269503546099294"/>
  </r>
  <r>
    <n v="123"/>
    <n v="19"/>
    <x v="1"/>
    <x v="0"/>
    <x v="0"/>
    <n v="5.3"/>
    <x v="2"/>
    <x v="0"/>
    <n v="6.3"/>
    <n v="5"/>
    <s v="Single"/>
    <n v="8"/>
    <x v="0"/>
    <x v="0"/>
    <x v="0"/>
    <s v="Average"/>
    <n v="1"/>
    <s v="Average"/>
    <n v="0.5787234042553191"/>
    <n v="0.64255319148936174"/>
    <n v="6.868936170212768"/>
    <n v="6.2269503546099294"/>
  </r>
  <r>
    <n v="124"/>
    <n v="22"/>
    <x v="0"/>
    <x v="1"/>
    <x v="1"/>
    <n v="5.8"/>
    <x v="0"/>
    <x v="0"/>
    <n v="5.8"/>
    <n v="6"/>
    <s v="In Relationship"/>
    <n v="7"/>
    <x v="1"/>
    <x v="0"/>
    <x v="0"/>
    <s v="Poor"/>
    <n v="1"/>
    <s v="Average"/>
    <n v="0.5787234042553191"/>
    <n v="0.64255319148936174"/>
    <n v="6.868936170212768"/>
    <n v="6.2269503546099294"/>
  </r>
  <r>
    <n v="125"/>
    <n v="20"/>
    <x v="1"/>
    <x v="0"/>
    <x v="106"/>
    <n v="4.5"/>
    <x v="4"/>
    <x v="1"/>
    <n v="7.5"/>
    <n v="7"/>
    <s v="Single"/>
    <n v="5"/>
    <x v="0"/>
    <x v="0"/>
    <x v="2"/>
    <s v="Healthy"/>
    <n v="0"/>
    <s v="Good"/>
    <n v="0.5787234042553191"/>
    <n v="0.64255319148936174"/>
    <n v="6.868936170212768"/>
    <n v="6.2269503546099294"/>
  </r>
  <r>
    <n v="126"/>
    <n v="21"/>
    <x v="0"/>
    <x v="1"/>
    <x v="105"/>
    <n v="5.2"/>
    <x v="0"/>
    <x v="0"/>
    <n v="6.4"/>
    <n v="5"/>
    <s v="In Relationship"/>
    <n v="8"/>
    <x v="0"/>
    <x v="0"/>
    <x v="0"/>
    <s v="Average"/>
    <n v="1"/>
    <s v="Average"/>
    <n v="0.5787234042553191"/>
    <n v="0.64255319148936174"/>
    <n v="6.868936170212768"/>
    <n v="6.2269503546099294"/>
  </r>
  <r>
    <n v="127"/>
    <n v="19"/>
    <x v="1"/>
    <x v="0"/>
    <x v="108"/>
    <n v="5.7"/>
    <x v="2"/>
    <x v="0"/>
    <n v="5.7"/>
    <n v="6"/>
    <s v="Single"/>
    <n v="7"/>
    <x v="0"/>
    <x v="0"/>
    <x v="0"/>
    <s v="Poor"/>
    <n v="1"/>
    <s v="Average"/>
    <n v="0.5787234042553191"/>
    <n v="0.64255319148936174"/>
    <n v="6.868936170212768"/>
    <n v="6.2269503546099294"/>
  </r>
  <r>
    <n v="128"/>
    <n v="20"/>
    <x v="0"/>
    <x v="0"/>
    <x v="109"/>
    <n v="4.4000000000000004"/>
    <x v="0"/>
    <x v="1"/>
    <n v="7.6"/>
    <n v="8"/>
    <s v="In Relationship"/>
    <n v="5"/>
    <x v="0"/>
    <x v="0"/>
    <x v="2"/>
    <s v="Healthy"/>
    <n v="0"/>
    <s v="Good"/>
    <n v="0.5787234042553191"/>
    <n v="0.64255319148936174"/>
    <n v="6.868936170212768"/>
    <n v="6.2269503546099294"/>
  </r>
  <r>
    <n v="129"/>
    <n v="22"/>
    <x v="1"/>
    <x v="1"/>
    <x v="0"/>
    <n v="5.0999999999999996"/>
    <x v="4"/>
    <x v="0"/>
    <n v="6.5"/>
    <n v="5"/>
    <s v="Single"/>
    <n v="8"/>
    <x v="1"/>
    <x v="0"/>
    <x v="0"/>
    <s v="Average"/>
    <n v="1"/>
    <s v="Average"/>
    <n v="0.5787234042553191"/>
    <n v="0.64255319148936174"/>
    <n v="6.868936170212768"/>
    <n v="6.2269503546099294"/>
  </r>
  <r>
    <n v="130"/>
    <n v="21"/>
    <x v="0"/>
    <x v="1"/>
    <x v="1"/>
    <n v="5.6"/>
    <x v="0"/>
    <x v="0"/>
    <n v="5.6"/>
    <n v="6"/>
    <s v="In Relationship"/>
    <n v="7"/>
    <x v="0"/>
    <x v="0"/>
    <x v="0"/>
    <s v="Poor"/>
    <n v="1"/>
    <s v="Average"/>
    <n v="0.5787234042553191"/>
    <n v="0.64255319148936174"/>
    <n v="6.868936170212768"/>
    <n v="6.2269503546099294"/>
  </r>
  <r>
    <n v="131"/>
    <n v="19"/>
    <x v="1"/>
    <x v="0"/>
    <x v="106"/>
    <n v="4.3"/>
    <x v="2"/>
    <x v="1"/>
    <n v="7.7"/>
    <n v="7"/>
    <s v="Single"/>
    <n v="5"/>
    <x v="0"/>
    <x v="0"/>
    <x v="2"/>
    <s v="Healthy"/>
    <n v="0"/>
    <s v="Good"/>
    <n v="0.5787234042553191"/>
    <n v="0.64255319148936174"/>
    <n v="6.868936170212768"/>
    <n v="6.2269503546099294"/>
  </r>
  <r>
    <n v="132"/>
    <n v="20"/>
    <x v="0"/>
    <x v="0"/>
    <x v="105"/>
    <n v="5"/>
    <x v="0"/>
    <x v="0"/>
    <n v="6.6"/>
    <n v="5"/>
    <s v="In Relationship"/>
    <n v="8"/>
    <x v="0"/>
    <x v="0"/>
    <x v="0"/>
    <s v="Average"/>
    <n v="1"/>
    <s v="Average"/>
    <n v="0.5787234042553191"/>
    <n v="0.64255319148936174"/>
    <n v="6.868936170212768"/>
    <n v="6.2269503546099294"/>
  </r>
  <r>
    <n v="133"/>
    <n v="22"/>
    <x v="1"/>
    <x v="1"/>
    <x v="108"/>
    <n v="5.5"/>
    <x v="4"/>
    <x v="0"/>
    <n v="5.5"/>
    <n v="6"/>
    <s v="Single"/>
    <n v="7"/>
    <x v="1"/>
    <x v="0"/>
    <x v="0"/>
    <s v="Poor"/>
    <n v="1"/>
    <s v="Average"/>
    <n v="0.5787234042553191"/>
    <n v="0.64255319148936174"/>
    <n v="6.868936170212768"/>
    <n v="6.2269503546099294"/>
  </r>
  <r>
    <n v="134"/>
    <n v="21"/>
    <x v="0"/>
    <x v="1"/>
    <x v="109"/>
    <n v="4.2"/>
    <x v="0"/>
    <x v="1"/>
    <n v="7.8"/>
    <n v="8"/>
    <s v="In Relationship"/>
    <n v="5"/>
    <x v="0"/>
    <x v="0"/>
    <x v="2"/>
    <s v="Healthy"/>
    <n v="0"/>
    <s v="Good"/>
    <n v="0.5787234042553191"/>
    <n v="0.64255319148936174"/>
    <n v="6.868936170212768"/>
    <n v="6.2269503546099294"/>
  </r>
  <r>
    <n v="135"/>
    <n v="19"/>
    <x v="1"/>
    <x v="0"/>
    <x v="0"/>
    <n v="4.9000000000000004"/>
    <x v="2"/>
    <x v="0"/>
    <n v="6.7"/>
    <n v="5"/>
    <s v="Single"/>
    <n v="8"/>
    <x v="0"/>
    <x v="0"/>
    <x v="0"/>
    <s v="Average"/>
    <n v="1"/>
    <s v="Average"/>
    <n v="0.5787234042553191"/>
    <n v="0.64255319148936174"/>
    <n v="6.868936170212768"/>
    <n v="6.2269503546099294"/>
  </r>
  <r>
    <n v="136"/>
    <n v="20"/>
    <x v="0"/>
    <x v="0"/>
    <x v="1"/>
    <n v="5.4"/>
    <x v="0"/>
    <x v="0"/>
    <n v="5.4"/>
    <n v="6"/>
    <s v="In Relationship"/>
    <n v="7"/>
    <x v="0"/>
    <x v="0"/>
    <x v="0"/>
    <s v="Poor"/>
    <n v="1"/>
    <s v="Average"/>
    <n v="0.5787234042553191"/>
    <n v="0.64255319148936174"/>
    <n v="6.868936170212768"/>
    <n v="6.2269503546099294"/>
  </r>
  <r>
    <n v="137"/>
    <n v="22"/>
    <x v="1"/>
    <x v="1"/>
    <x v="106"/>
    <n v="4.0999999999999996"/>
    <x v="4"/>
    <x v="1"/>
    <n v="7.9"/>
    <n v="7"/>
    <s v="Single"/>
    <n v="5"/>
    <x v="1"/>
    <x v="0"/>
    <x v="2"/>
    <s v="Healthy"/>
    <n v="0"/>
    <s v="Good"/>
    <n v="0.5787234042553191"/>
    <n v="0.64255319148936174"/>
    <n v="6.868936170212768"/>
    <n v="6.2269503546099294"/>
  </r>
  <r>
    <n v="138"/>
    <n v="21"/>
    <x v="0"/>
    <x v="1"/>
    <x v="105"/>
    <n v="4.8"/>
    <x v="0"/>
    <x v="0"/>
    <n v="6.8"/>
    <n v="5"/>
    <s v="In Relationship"/>
    <n v="8"/>
    <x v="0"/>
    <x v="0"/>
    <x v="0"/>
    <s v="Average"/>
    <n v="1"/>
    <s v="Average"/>
    <n v="0.5787234042553191"/>
    <n v="0.64255319148936174"/>
    <n v="6.868936170212768"/>
    <n v="6.2269503546099294"/>
  </r>
  <r>
    <n v="139"/>
    <n v="19"/>
    <x v="1"/>
    <x v="0"/>
    <x v="108"/>
    <n v="5.3"/>
    <x v="2"/>
    <x v="0"/>
    <n v="5.3"/>
    <n v="6"/>
    <s v="Single"/>
    <n v="7"/>
    <x v="0"/>
    <x v="0"/>
    <x v="0"/>
    <s v="Poor"/>
    <n v="1"/>
    <s v="Average"/>
    <n v="0.5787234042553191"/>
    <n v="0.64255319148936174"/>
    <n v="6.868936170212768"/>
    <n v="6.2269503546099294"/>
  </r>
  <r>
    <n v="140"/>
    <n v="20"/>
    <x v="0"/>
    <x v="0"/>
    <x v="109"/>
    <n v="4"/>
    <x v="0"/>
    <x v="1"/>
    <n v="8"/>
    <n v="8"/>
    <s v="In Relationship"/>
    <n v="5"/>
    <x v="0"/>
    <x v="0"/>
    <x v="2"/>
    <s v="Healthy"/>
    <n v="0"/>
    <s v="Good"/>
    <n v="0.5787234042553191"/>
    <n v="0.64255319148936174"/>
    <n v="6.868936170212768"/>
    <n v="6.2269503546099294"/>
  </r>
  <r>
    <n v="141"/>
    <n v="22"/>
    <x v="1"/>
    <x v="1"/>
    <x v="0"/>
    <n v="4.7"/>
    <x v="4"/>
    <x v="0"/>
    <n v="6.9"/>
    <n v="5"/>
    <s v="Single"/>
    <n v="8"/>
    <x v="1"/>
    <x v="0"/>
    <x v="0"/>
    <s v="Average"/>
    <n v="1"/>
    <s v="Average"/>
    <n v="0.5787234042553191"/>
    <n v="0.64255319148936174"/>
    <n v="6.868936170212768"/>
    <n v="6.2269503546099294"/>
  </r>
  <r>
    <n v="142"/>
    <n v="21"/>
    <x v="0"/>
    <x v="1"/>
    <x v="1"/>
    <n v="5.2"/>
    <x v="0"/>
    <x v="0"/>
    <n v="5.2"/>
    <n v="6"/>
    <s v="In Relationship"/>
    <n v="7"/>
    <x v="0"/>
    <x v="0"/>
    <x v="0"/>
    <s v="Poor"/>
    <n v="1"/>
    <s v="Average"/>
    <n v="0.5787234042553191"/>
    <n v="0.64255319148936174"/>
    <n v="6.868936170212768"/>
    <n v="6.2269503546099294"/>
  </r>
  <r>
    <n v="143"/>
    <n v="19"/>
    <x v="1"/>
    <x v="0"/>
    <x v="106"/>
    <n v="3.9"/>
    <x v="2"/>
    <x v="1"/>
    <n v="8.1"/>
    <n v="7"/>
    <s v="Single"/>
    <n v="5"/>
    <x v="0"/>
    <x v="1"/>
    <x v="2"/>
    <s v="Healthy"/>
    <n v="0"/>
    <s v="Good"/>
    <n v="0.5787234042553191"/>
    <n v="0.64255319148936174"/>
    <n v="6.868936170212768"/>
    <n v="6.2269503546099294"/>
  </r>
  <r>
    <n v="144"/>
    <n v="20"/>
    <x v="0"/>
    <x v="0"/>
    <x v="105"/>
    <n v="4.5999999999999996"/>
    <x v="0"/>
    <x v="0"/>
    <n v="7"/>
    <n v="5"/>
    <s v="In Relationship"/>
    <n v="8"/>
    <x v="0"/>
    <x v="0"/>
    <x v="0"/>
    <s v="Average"/>
    <n v="1"/>
    <s v="Average"/>
    <n v="0.5787234042553191"/>
    <n v="0.64255319148936174"/>
    <n v="6.868936170212768"/>
    <n v="6.2269503546099294"/>
  </r>
  <r>
    <n v="145"/>
    <n v="22"/>
    <x v="1"/>
    <x v="1"/>
    <x v="108"/>
    <n v="5.0999999999999996"/>
    <x v="4"/>
    <x v="0"/>
    <n v="5.0999999999999996"/>
    <n v="6"/>
    <s v="Single"/>
    <n v="7"/>
    <x v="1"/>
    <x v="0"/>
    <x v="0"/>
    <s v="Poor"/>
    <n v="1"/>
    <s v="Average"/>
    <n v="0.5787234042553191"/>
    <n v="0.64255319148936174"/>
    <n v="6.868936170212768"/>
    <n v="6.2269503546099294"/>
  </r>
  <r>
    <n v="146"/>
    <n v="21"/>
    <x v="0"/>
    <x v="1"/>
    <x v="109"/>
    <n v="3.8"/>
    <x v="0"/>
    <x v="1"/>
    <n v="8.1999999999999993"/>
    <n v="8"/>
    <s v="In Relationship"/>
    <n v="5"/>
    <x v="0"/>
    <x v="1"/>
    <x v="2"/>
    <s v="Healthy"/>
    <n v="0"/>
    <s v="Good"/>
    <n v="0.5787234042553191"/>
    <n v="0.64255319148936174"/>
    <n v="6.868936170212768"/>
    <n v="6.2269503546099294"/>
  </r>
  <r>
    <n v="147"/>
    <n v="19"/>
    <x v="1"/>
    <x v="0"/>
    <x v="0"/>
    <n v="4.5"/>
    <x v="2"/>
    <x v="0"/>
    <n v="7.1"/>
    <n v="5"/>
    <s v="Single"/>
    <n v="8"/>
    <x v="0"/>
    <x v="0"/>
    <x v="0"/>
    <s v="Healthy"/>
    <n v="1"/>
    <s v="Average"/>
    <n v="0.5787234042553191"/>
    <n v="0.64255319148936174"/>
    <n v="6.868936170212768"/>
    <n v="6.2269503546099294"/>
  </r>
  <r>
    <n v="148"/>
    <n v="20"/>
    <x v="0"/>
    <x v="0"/>
    <x v="1"/>
    <n v="5"/>
    <x v="0"/>
    <x v="0"/>
    <n v="5"/>
    <n v="6"/>
    <s v="In Relationship"/>
    <n v="7"/>
    <x v="0"/>
    <x v="0"/>
    <x v="0"/>
    <s v="Poor"/>
    <n v="1"/>
    <s v="Average"/>
    <n v="0.5787234042553191"/>
    <n v="0.64255319148936174"/>
    <n v="6.868936170212768"/>
    <n v="6.2269503546099294"/>
  </r>
  <r>
    <n v="149"/>
    <n v="22"/>
    <x v="1"/>
    <x v="1"/>
    <x v="106"/>
    <n v="3.7"/>
    <x v="4"/>
    <x v="1"/>
    <n v="8.3000000000000007"/>
    <n v="7"/>
    <s v="Single"/>
    <n v="5"/>
    <x v="1"/>
    <x v="1"/>
    <x v="2"/>
    <s v="Healthy"/>
    <n v="0"/>
    <s v="Good"/>
    <n v="0.5787234042553191"/>
    <n v="0.64255319148936174"/>
    <n v="6.868936170212768"/>
    <n v="6.2269503546099294"/>
  </r>
  <r>
    <n v="150"/>
    <n v="21"/>
    <x v="0"/>
    <x v="1"/>
    <x v="105"/>
    <n v="4.4000000000000004"/>
    <x v="0"/>
    <x v="0"/>
    <n v="7.2"/>
    <n v="5"/>
    <s v="In Relationship"/>
    <n v="8"/>
    <x v="0"/>
    <x v="0"/>
    <x v="0"/>
    <s v="Healthy"/>
    <n v="1"/>
    <s v="Average"/>
    <n v="0.5787234042553191"/>
    <n v="0.64255319148936174"/>
    <n v="6.868936170212768"/>
    <n v="6.2269503546099294"/>
  </r>
  <r>
    <n v="151"/>
    <n v="19"/>
    <x v="1"/>
    <x v="0"/>
    <x v="108"/>
    <n v="4.9000000000000004"/>
    <x v="2"/>
    <x v="0"/>
    <n v="4.9000000000000004"/>
    <n v="6"/>
    <s v="Single"/>
    <n v="7"/>
    <x v="0"/>
    <x v="0"/>
    <x v="0"/>
    <s v="Poor"/>
    <n v="1"/>
    <s v="Average"/>
    <n v="0.5787234042553191"/>
    <n v="0.64255319148936174"/>
    <n v="6.868936170212768"/>
    <n v="6.2269503546099294"/>
  </r>
  <r>
    <n v="152"/>
    <n v="20"/>
    <x v="0"/>
    <x v="0"/>
    <x v="109"/>
    <n v="3.6"/>
    <x v="0"/>
    <x v="1"/>
    <n v="8.4"/>
    <n v="8"/>
    <s v="In Relationship"/>
    <n v="5"/>
    <x v="0"/>
    <x v="1"/>
    <x v="2"/>
    <s v="Healthy"/>
    <n v="0"/>
    <s v="Good"/>
    <n v="0.5787234042553191"/>
    <n v="0.64255319148936174"/>
    <n v="6.868936170212768"/>
    <n v="6.2269503546099294"/>
  </r>
  <r>
    <n v="153"/>
    <n v="22"/>
    <x v="1"/>
    <x v="1"/>
    <x v="0"/>
    <n v="4.3"/>
    <x v="4"/>
    <x v="0"/>
    <n v="7.3"/>
    <n v="5"/>
    <s v="Single"/>
    <n v="8"/>
    <x v="1"/>
    <x v="0"/>
    <x v="0"/>
    <s v="Healthy"/>
    <n v="1"/>
    <s v="Average"/>
    <n v="0.5787234042553191"/>
    <n v="0.64255319148936174"/>
    <n v="6.868936170212768"/>
    <n v="6.2269503546099294"/>
  </r>
  <r>
    <n v="154"/>
    <n v="21"/>
    <x v="0"/>
    <x v="1"/>
    <x v="1"/>
    <n v="4.8"/>
    <x v="0"/>
    <x v="0"/>
    <n v="4.8"/>
    <n v="6"/>
    <s v="In Relationship"/>
    <n v="7"/>
    <x v="0"/>
    <x v="0"/>
    <x v="0"/>
    <s v="Poor"/>
    <n v="1"/>
    <s v="Average"/>
    <n v="0.5787234042553191"/>
    <n v="0.64255319148936174"/>
    <n v="6.868936170212768"/>
    <n v="6.2269503546099294"/>
  </r>
  <r>
    <n v="155"/>
    <n v="19"/>
    <x v="1"/>
    <x v="0"/>
    <x v="106"/>
    <n v="3.5"/>
    <x v="2"/>
    <x v="1"/>
    <n v="8.5"/>
    <n v="7"/>
    <s v="Single"/>
    <n v="5"/>
    <x v="0"/>
    <x v="1"/>
    <x v="2"/>
    <s v="Healthy"/>
    <n v="0"/>
    <s v="Good"/>
    <n v="0.5787234042553191"/>
    <n v="0.64255319148936174"/>
    <n v="6.868936170212768"/>
    <n v="6.2269503546099294"/>
  </r>
  <r>
    <n v="156"/>
    <n v="20"/>
    <x v="0"/>
    <x v="0"/>
    <x v="105"/>
    <n v="4.2"/>
    <x v="0"/>
    <x v="0"/>
    <n v="7.4"/>
    <n v="5"/>
    <s v="In Relationship"/>
    <n v="8"/>
    <x v="0"/>
    <x v="0"/>
    <x v="0"/>
    <s v="Healthy"/>
    <n v="1"/>
    <s v="Average"/>
    <n v="0.5787234042553191"/>
    <n v="0.64255319148936174"/>
    <n v="6.868936170212768"/>
    <n v="6.2269503546099294"/>
  </r>
  <r>
    <n v="157"/>
    <n v="22"/>
    <x v="1"/>
    <x v="1"/>
    <x v="108"/>
    <n v="4.7"/>
    <x v="4"/>
    <x v="0"/>
    <n v="4.7"/>
    <n v="6"/>
    <s v="Single"/>
    <n v="7"/>
    <x v="1"/>
    <x v="0"/>
    <x v="0"/>
    <s v="Poor"/>
    <n v="1"/>
    <s v="Average"/>
    <n v="0.5787234042553191"/>
    <n v="0.64255319148936174"/>
    <n v="6.868936170212768"/>
    <n v="6.2269503546099294"/>
  </r>
  <r>
    <n v="158"/>
    <n v="21"/>
    <x v="0"/>
    <x v="1"/>
    <x v="109"/>
    <n v="3.4"/>
    <x v="0"/>
    <x v="1"/>
    <n v="8.6"/>
    <n v="8"/>
    <s v="In Relationship"/>
    <n v="5"/>
    <x v="0"/>
    <x v="1"/>
    <x v="2"/>
    <s v="Healthy"/>
    <n v="0"/>
    <s v="Good"/>
    <n v="0.5787234042553191"/>
    <n v="0.64255319148936174"/>
    <n v="6.868936170212768"/>
    <n v="6.2269503546099294"/>
  </r>
  <r>
    <n v="159"/>
    <n v="19"/>
    <x v="1"/>
    <x v="0"/>
    <x v="0"/>
    <n v="4.0999999999999996"/>
    <x v="2"/>
    <x v="0"/>
    <n v="7.5"/>
    <n v="5"/>
    <s v="Single"/>
    <n v="8"/>
    <x v="0"/>
    <x v="0"/>
    <x v="0"/>
    <s v="Healthy"/>
    <n v="1"/>
    <s v="Average"/>
    <n v="0.5787234042553191"/>
    <n v="0.64255319148936174"/>
    <n v="6.868936170212768"/>
    <n v="6.2269503546099294"/>
  </r>
  <r>
    <n v="160"/>
    <n v="20"/>
    <x v="0"/>
    <x v="0"/>
    <x v="1"/>
    <n v="4.5999999999999996"/>
    <x v="0"/>
    <x v="0"/>
    <n v="4.5999999999999996"/>
    <n v="6"/>
    <s v="In Relationship"/>
    <n v="7"/>
    <x v="0"/>
    <x v="0"/>
    <x v="0"/>
    <s v="Poor"/>
    <n v="1"/>
    <s v="Average"/>
    <n v="0.5787234042553191"/>
    <n v="0.64255319148936174"/>
    <n v="6.868936170212768"/>
    <n v="6.2269503546099294"/>
  </r>
  <r>
    <n v="161"/>
    <n v="19"/>
    <x v="0"/>
    <x v="0"/>
    <x v="0"/>
    <n v="5.3"/>
    <x v="0"/>
    <x v="0"/>
    <n v="6.1"/>
    <n v="5"/>
    <s v="Single"/>
    <n v="7"/>
    <x v="0"/>
    <x v="0"/>
    <x v="0"/>
    <s v="Average"/>
    <n v="1"/>
    <s v="Average"/>
    <n v="0.5787234042553191"/>
    <n v="0.64255319148936174"/>
    <n v="6.868936170212768"/>
    <n v="6.2269503546099294"/>
  </r>
  <r>
    <n v="162"/>
    <n v="21"/>
    <x v="1"/>
    <x v="1"/>
    <x v="1"/>
    <n v="4.8"/>
    <x v="4"/>
    <x v="1"/>
    <n v="7.2"/>
    <n v="7"/>
    <s v="In Relationship"/>
    <n v="6"/>
    <x v="0"/>
    <x v="0"/>
    <x v="2"/>
    <s v="Healthy"/>
    <n v="0"/>
    <s v="Good"/>
    <n v="0.5787234042553191"/>
    <n v="0.64255319148936174"/>
    <n v="6.868936170212768"/>
    <n v="6.2269503546099294"/>
  </r>
  <r>
    <n v="163"/>
    <n v="20"/>
    <x v="0"/>
    <x v="0"/>
    <x v="106"/>
    <n v="5.5"/>
    <x v="2"/>
    <x v="0"/>
    <n v="5.9"/>
    <n v="6"/>
    <s v="Single"/>
    <n v="8"/>
    <x v="0"/>
    <x v="0"/>
    <x v="0"/>
    <s v="Poor"/>
    <n v="1"/>
    <s v="Average"/>
    <n v="0.5787234042553191"/>
    <n v="0.64255319148936174"/>
    <n v="6.868936170212768"/>
    <n v="6.2269503546099294"/>
  </r>
  <r>
    <n v="164"/>
    <n v="22"/>
    <x v="1"/>
    <x v="1"/>
    <x v="105"/>
    <n v="4.7"/>
    <x v="0"/>
    <x v="0"/>
    <n v="6.3"/>
    <n v="5"/>
    <s v="In Relationship"/>
    <n v="7"/>
    <x v="1"/>
    <x v="0"/>
    <x v="0"/>
    <s v="Average"/>
    <n v="1"/>
    <s v="Average"/>
    <n v="0.5787234042553191"/>
    <n v="0.64255319148936174"/>
    <n v="6.868936170212768"/>
    <n v="6.2269503546099294"/>
  </r>
  <r>
    <n v="165"/>
    <n v="19"/>
    <x v="0"/>
    <x v="0"/>
    <x v="108"/>
    <n v="5.0999999999999996"/>
    <x v="4"/>
    <x v="1"/>
    <n v="7"/>
    <n v="7"/>
    <s v="Single"/>
    <n v="5"/>
    <x v="0"/>
    <x v="0"/>
    <x v="2"/>
    <s v="Average"/>
    <n v="0"/>
    <s v="Good"/>
    <n v="0.5787234042553191"/>
    <n v="0.64255319148936174"/>
    <n v="6.868936170212768"/>
    <n v="6.2269503546099294"/>
  </r>
  <r>
    <n v="166"/>
    <n v="21"/>
    <x v="1"/>
    <x v="1"/>
    <x v="109"/>
    <n v="5.4"/>
    <x v="2"/>
    <x v="0"/>
    <n v="6"/>
    <n v="6"/>
    <s v="In Relationship"/>
    <n v="8"/>
    <x v="0"/>
    <x v="0"/>
    <x v="0"/>
    <s v="Average"/>
    <n v="1"/>
    <s v="Average"/>
    <n v="0.5787234042553191"/>
    <n v="0.64255319148936174"/>
    <n v="6.868936170212768"/>
    <n v="6.2269503546099294"/>
  </r>
  <r>
    <n v="167"/>
    <n v="20"/>
    <x v="0"/>
    <x v="0"/>
    <x v="0"/>
    <n v="4.9000000000000004"/>
    <x v="0"/>
    <x v="0"/>
    <n v="6.4"/>
    <n v="5"/>
    <s v="Single"/>
    <n v="7"/>
    <x v="0"/>
    <x v="0"/>
    <x v="0"/>
    <s v="Average"/>
    <n v="1"/>
    <s v="Average"/>
    <n v="0.5787234042553191"/>
    <n v="0.64255319148936174"/>
    <n v="6.868936170212768"/>
    <n v="6.2269503546099294"/>
  </r>
  <r>
    <n v="168"/>
    <n v="22"/>
    <x v="1"/>
    <x v="1"/>
    <x v="1"/>
    <n v="5.2"/>
    <x v="4"/>
    <x v="1"/>
    <n v="7.1"/>
    <n v="7"/>
    <s v="In Relationship"/>
    <n v="6"/>
    <x v="1"/>
    <x v="0"/>
    <x v="2"/>
    <s v="Healthy"/>
    <n v="0"/>
    <s v="Good"/>
    <n v="0.5787234042553191"/>
    <n v="0.64255319148936174"/>
    <n v="6.868936170212768"/>
    <n v="6.2269503546099294"/>
  </r>
  <r>
    <n v="169"/>
    <n v="19"/>
    <x v="0"/>
    <x v="0"/>
    <x v="106"/>
    <n v="5.6"/>
    <x v="2"/>
    <x v="0"/>
    <n v="5.8"/>
    <n v="6"/>
    <s v="Single"/>
    <n v="8"/>
    <x v="0"/>
    <x v="0"/>
    <x v="0"/>
    <s v="Poor"/>
    <n v="1"/>
    <s v="Average"/>
    <n v="0.5787234042553191"/>
    <n v="0.64255319148936174"/>
    <n v="6.868936170212768"/>
    <n v="6.2269503546099294"/>
  </r>
  <r>
    <n v="170"/>
    <n v="21"/>
    <x v="1"/>
    <x v="1"/>
    <x v="105"/>
    <n v="4.5999999999999996"/>
    <x v="0"/>
    <x v="0"/>
    <n v="6.5"/>
    <n v="5"/>
    <s v="In Relationship"/>
    <n v="7"/>
    <x v="0"/>
    <x v="0"/>
    <x v="0"/>
    <s v="Average"/>
    <n v="1"/>
    <s v="Average"/>
    <n v="0.5787234042553191"/>
    <n v="0.64255319148936174"/>
    <n v="6.868936170212768"/>
    <n v="6.2269503546099294"/>
  </r>
  <r>
    <n v="171"/>
    <n v="20"/>
    <x v="0"/>
    <x v="0"/>
    <x v="108"/>
    <n v="5"/>
    <x v="4"/>
    <x v="1"/>
    <n v="7.3"/>
    <n v="7"/>
    <s v="Single"/>
    <n v="5"/>
    <x v="0"/>
    <x v="0"/>
    <x v="2"/>
    <s v="Healthy"/>
    <n v="0"/>
    <s v="Good"/>
    <n v="0.5787234042553191"/>
    <n v="0.64255319148936174"/>
    <n v="6.868936170212768"/>
    <n v="6.2269503546099294"/>
  </r>
  <r>
    <n v="172"/>
    <n v="22"/>
    <x v="1"/>
    <x v="1"/>
    <x v="109"/>
    <n v="5.3"/>
    <x v="2"/>
    <x v="0"/>
    <n v="5.7"/>
    <n v="6"/>
    <s v="In Relationship"/>
    <n v="8"/>
    <x v="1"/>
    <x v="0"/>
    <x v="0"/>
    <s v="Poor"/>
    <n v="1"/>
    <s v="Average"/>
    <n v="0.5787234042553191"/>
    <n v="0.64255319148936174"/>
    <n v="6.868936170212768"/>
    <n v="6.2269503546099294"/>
  </r>
  <r>
    <n v="173"/>
    <n v="19"/>
    <x v="0"/>
    <x v="0"/>
    <x v="0"/>
    <n v="4.8"/>
    <x v="0"/>
    <x v="0"/>
    <n v="6.6"/>
    <n v="5"/>
    <s v="Single"/>
    <n v="7"/>
    <x v="0"/>
    <x v="0"/>
    <x v="0"/>
    <s v="Average"/>
    <n v="1"/>
    <s v="Average"/>
    <n v="0.5787234042553191"/>
    <n v="0.64255319148936174"/>
    <n v="6.868936170212768"/>
    <n v="6.2269503546099294"/>
  </r>
  <r>
    <n v="174"/>
    <n v="21"/>
    <x v="1"/>
    <x v="1"/>
    <x v="1"/>
    <n v="5.0999999999999996"/>
    <x v="4"/>
    <x v="1"/>
    <n v="7.4"/>
    <n v="7"/>
    <s v="In Relationship"/>
    <n v="6"/>
    <x v="0"/>
    <x v="0"/>
    <x v="2"/>
    <s v="Healthy"/>
    <n v="0"/>
    <s v="Good"/>
    <n v="0.5787234042553191"/>
    <n v="0.64255319148936174"/>
    <n v="6.868936170212768"/>
    <n v="6.2269503546099294"/>
  </r>
  <r>
    <n v="175"/>
    <n v="20"/>
    <x v="0"/>
    <x v="0"/>
    <x v="106"/>
    <n v="5.7"/>
    <x v="2"/>
    <x v="0"/>
    <n v="5.6"/>
    <n v="6"/>
    <s v="Single"/>
    <n v="8"/>
    <x v="0"/>
    <x v="0"/>
    <x v="0"/>
    <s v="Poor"/>
    <n v="1"/>
    <s v="Average"/>
    <n v="0.5787234042553191"/>
    <n v="0.64255319148936174"/>
    <n v="6.868936170212768"/>
    <n v="6.2269503546099294"/>
  </r>
  <r>
    <n v="176"/>
    <n v="22"/>
    <x v="1"/>
    <x v="1"/>
    <x v="105"/>
    <n v="4.5"/>
    <x v="0"/>
    <x v="0"/>
    <n v="6.7"/>
    <n v="5"/>
    <s v="In Relationship"/>
    <n v="7"/>
    <x v="1"/>
    <x v="0"/>
    <x v="0"/>
    <s v="Average"/>
    <n v="1"/>
    <s v="Average"/>
    <n v="0.5787234042553191"/>
    <n v="0.64255319148936174"/>
    <n v="6.868936170212768"/>
    <n v="6.2269503546099294"/>
  </r>
  <r>
    <n v="177"/>
    <n v="19"/>
    <x v="0"/>
    <x v="0"/>
    <x v="108"/>
    <n v="4.9000000000000004"/>
    <x v="4"/>
    <x v="1"/>
    <n v="7.5"/>
    <n v="7"/>
    <s v="Single"/>
    <n v="5"/>
    <x v="0"/>
    <x v="0"/>
    <x v="2"/>
    <s v="Healthy"/>
    <n v="0"/>
    <s v="Good"/>
    <n v="0.5787234042553191"/>
    <n v="0.64255319148936174"/>
    <n v="6.868936170212768"/>
    <n v="6.2269503546099294"/>
  </r>
  <r>
    <n v="178"/>
    <n v="21"/>
    <x v="1"/>
    <x v="1"/>
    <x v="109"/>
    <n v="5.2"/>
    <x v="2"/>
    <x v="0"/>
    <n v="5.5"/>
    <n v="6"/>
    <s v="In Relationship"/>
    <n v="8"/>
    <x v="0"/>
    <x v="0"/>
    <x v="0"/>
    <s v="Poor"/>
    <n v="1"/>
    <s v="Average"/>
    <n v="0.5787234042553191"/>
    <n v="0.64255319148936174"/>
    <n v="6.868936170212768"/>
    <n v="6.2269503546099294"/>
  </r>
  <r>
    <n v="179"/>
    <n v="20"/>
    <x v="0"/>
    <x v="0"/>
    <x v="0"/>
    <n v="4.7"/>
    <x v="0"/>
    <x v="0"/>
    <n v="6.8"/>
    <n v="5"/>
    <s v="Single"/>
    <n v="7"/>
    <x v="0"/>
    <x v="0"/>
    <x v="0"/>
    <s v="Average"/>
    <n v="1"/>
    <s v="Average"/>
    <n v="0.5787234042553191"/>
    <n v="0.64255319148936174"/>
    <n v="6.868936170212768"/>
    <n v="6.2269503546099294"/>
  </r>
  <r>
    <n v="180"/>
    <n v="22"/>
    <x v="1"/>
    <x v="1"/>
    <x v="1"/>
    <n v="5"/>
    <x v="4"/>
    <x v="1"/>
    <n v="7.6"/>
    <n v="7"/>
    <s v="In Relationship"/>
    <n v="6"/>
    <x v="1"/>
    <x v="0"/>
    <x v="2"/>
    <s v="Healthy"/>
    <n v="0"/>
    <s v="Good"/>
    <n v="0.5787234042553191"/>
    <n v="0.64255319148936174"/>
    <n v="6.868936170212768"/>
    <n v="6.2269503546099294"/>
  </r>
  <r>
    <n v="181"/>
    <n v="19"/>
    <x v="0"/>
    <x v="0"/>
    <x v="106"/>
    <n v="5.8"/>
    <x v="2"/>
    <x v="0"/>
    <n v="5.4"/>
    <n v="6"/>
    <s v="Single"/>
    <n v="8"/>
    <x v="0"/>
    <x v="0"/>
    <x v="0"/>
    <s v="Poor"/>
    <n v="1"/>
    <s v="Average"/>
    <n v="0.5787234042553191"/>
    <n v="0.64255319148936174"/>
    <n v="6.868936170212768"/>
    <n v="6.2269503546099294"/>
  </r>
  <r>
    <n v="182"/>
    <n v="21"/>
    <x v="1"/>
    <x v="1"/>
    <x v="105"/>
    <n v="4.4000000000000004"/>
    <x v="0"/>
    <x v="0"/>
    <n v="6.9"/>
    <n v="5"/>
    <s v="In Relationship"/>
    <n v="7"/>
    <x v="0"/>
    <x v="0"/>
    <x v="0"/>
    <s v="Average"/>
    <n v="1"/>
    <s v="Average"/>
    <n v="0.5787234042553191"/>
    <n v="0.64255319148936174"/>
    <n v="6.868936170212768"/>
    <n v="6.2269503546099294"/>
  </r>
  <r>
    <n v="183"/>
    <n v="20"/>
    <x v="0"/>
    <x v="0"/>
    <x v="108"/>
    <n v="4.8"/>
    <x v="4"/>
    <x v="1"/>
    <n v="7.7"/>
    <n v="7"/>
    <s v="Single"/>
    <n v="5"/>
    <x v="0"/>
    <x v="0"/>
    <x v="2"/>
    <s v="Healthy"/>
    <n v="0"/>
    <s v="Good"/>
    <n v="0.5787234042553191"/>
    <n v="0.64255319148936174"/>
    <n v="6.868936170212768"/>
    <n v="6.2269503546099294"/>
  </r>
  <r>
    <n v="184"/>
    <n v="22"/>
    <x v="1"/>
    <x v="1"/>
    <x v="109"/>
    <n v="5.0999999999999996"/>
    <x v="2"/>
    <x v="0"/>
    <n v="5.3"/>
    <n v="6"/>
    <s v="In Relationship"/>
    <n v="8"/>
    <x v="1"/>
    <x v="0"/>
    <x v="0"/>
    <s v="Poor"/>
    <n v="1"/>
    <s v="Average"/>
    <n v="0.5787234042553191"/>
    <n v="0.64255319148936174"/>
    <n v="6.868936170212768"/>
    <n v="6.2269503546099294"/>
  </r>
  <r>
    <n v="185"/>
    <n v="19"/>
    <x v="0"/>
    <x v="0"/>
    <x v="0"/>
    <n v="4.5999999999999996"/>
    <x v="0"/>
    <x v="0"/>
    <n v="7"/>
    <n v="5"/>
    <s v="Single"/>
    <n v="7"/>
    <x v="0"/>
    <x v="0"/>
    <x v="0"/>
    <s v="Average"/>
    <n v="1"/>
    <s v="Average"/>
    <n v="0.5787234042553191"/>
    <n v="0.64255319148936174"/>
    <n v="6.868936170212768"/>
    <n v="6.2269503546099294"/>
  </r>
  <r>
    <n v="186"/>
    <n v="21"/>
    <x v="1"/>
    <x v="1"/>
    <x v="1"/>
    <n v="4.9000000000000004"/>
    <x v="4"/>
    <x v="1"/>
    <n v="7.8"/>
    <n v="7"/>
    <s v="In Relationship"/>
    <n v="6"/>
    <x v="0"/>
    <x v="0"/>
    <x v="2"/>
    <s v="Healthy"/>
    <n v="0"/>
    <s v="Good"/>
    <n v="0.5787234042553191"/>
    <n v="0.64255319148936174"/>
    <n v="6.868936170212768"/>
    <n v="6.2269503546099294"/>
  </r>
  <r>
    <n v="187"/>
    <n v="20"/>
    <x v="0"/>
    <x v="0"/>
    <x v="106"/>
    <n v="5.9"/>
    <x v="2"/>
    <x v="0"/>
    <n v="5.2"/>
    <n v="6"/>
    <s v="Single"/>
    <n v="8"/>
    <x v="0"/>
    <x v="0"/>
    <x v="0"/>
    <s v="Poor"/>
    <n v="1"/>
    <s v="Average"/>
    <n v="0.5787234042553191"/>
    <n v="0.64255319148936174"/>
    <n v="6.868936170212768"/>
    <n v="6.2269503546099294"/>
  </r>
  <r>
    <n v="188"/>
    <n v="22"/>
    <x v="1"/>
    <x v="1"/>
    <x v="105"/>
    <n v="4.3"/>
    <x v="0"/>
    <x v="0"/>
    <n v="7.1"/>
    <n v="5"/>
    <s v="In Relationship"/>
    <n v="7"/>
    <x v="1"/>
    <x v="0"/>
    <x v="0"/>
    <s v="Healthy"/>
    <n v="1"/>
    <s v="Average"/>
    <n v="0.5787234042553191"/>
    <n v="0.64255319148936174"/>
    <n v="6.868936170212768"/>
    <n v="6.2269503546099294"/>
  </r>
  <r>
    <n v="189"/>
    <n v="19"/>
    <x v="0"/>
    <x v="0"/>
    <x v="108"/>
    <n v="4.7"/>
    <x v="4"/>
    <x v="1"/>
    <n v="7.9"/>
    <n v="7"/>
    <s v="Single"/>
    <n v="5"/>
    <x v="0"/>
    <x v="0"/>
    <x v="2"/>
    <s v="Healthy"/>
    <n v="0"/>
    <s v="Good"/>
    <n v="0.5787234042553191"/>
    <n v="0.64255319148936174"/>
    <n v="6.868936170212768"/>
    <n v="6.2269503546099294"/>
  </r>
  <r>
    <n v="190"/>
    <n v="21"/>
    <x v="1"/>
    <x v="1"/>
    <x v="109"/>
    <n v="5"/>
    <x v="2"/>
    <x v="0"/>
    <n v="5.0999999999999996"/>
    <n v="6"/>
    <s v="In Relationship"/>
    <n v="8"/>
    <x v="0"/>
    <x v="0"/>
    <x v="0"/>
    <s v="Poor"/>
    <n v="1"/>
    <s v="Average"/>
    <n v="0.5787234042553191"/>
    <n v="0.64255319148936174"/>
    <n v="6.868936170212768"/>
    <n v="6.2269503546099294"/>
  </r>
  <r>
    <n v="191"/>
    <n v="20"/>
    <x v="0"/>
    <x v="0"/>
    <x v="0"/>
    <n v="4.5"/>
    <x v="0"/>
    <x v="0"/>
    <n v="7.2"/>
    <n v="5"/>
    <s v="Single"/>
    <n v="7"/>
    <x v="0"/>
    <x v="0"/>
    <x v="0"/>
    <s v="Healthy"/>
    <n v="1"/>
    <s v="Average"/>
    <n v="0.5787234042553191"/>
    <n v="0.64255319148936174"/>
    <n v="6.868936170212768"/>
    <n v="6.2269503546099294"/>
  </r>
  <r>
    <n v="192"/>
    <n v="22"/>
    <x v="1"/>
    <x v="1"/>
    <x v="1"/>
    <n v="4.8"/>
    <x v="4"/>
    <x v="1"/>
    <n v="8"/>
    <n v="7"/>
    <s v="In Relationship"/>
    <n v="6"/>
    <x v="1"/>
    <x v="0"/>
    <x v="2"/>
    <s v="Healthy"/>
    <n v="0"/>
    <s v="Good"/>
    <n v="0.5787234042553191"/>
    <n v="0.64255319148936174"/>
    <n v="6.868936170212768"/>
    <n v="6.2269503546099294"/>
  </r>
  <r>
    <n v="193"/>
    <n v="19"/>
    <x v="0"/>
    <x v="0"/>
    <x v="106"/>
    <n v="6"/>
    <x v="2"/>
    <x v="0"/>
    <n v="5"/>
    <n v="6"/>
    <s v="Single"/>
    <n v="8"/>
    <x v="0"/>
    <x v="2"/>
    <x v="0"/>
    <s v="Poor"/>
    <n v="1"/>
    <s v="Average"/>
    <n v="0.5787234042553191"/>
    <n v="0.64255319148936174"/>
    <n v="6.868936170212768"/>
    <n v="6.2269503546099294"/>
  </r>
  <r>
    <n v="194"/>
    <n v="21"/>
    <x v="1"/>
    <x v="1"/>
    <x v="105"/>
    <n v="4.2"/>
    <x v="0"/>
    <x v="0"/>
    <n v="7.3"/>
    <n v="5"/>
    <s v="In Relationship"/>
    <n v="7"/>
    <x v="0"/>
    <x v="0"/>
    <x v="0"/>
    <s v="Healthy"/>
    <n v="1"/>
    <s v="Average"/>
    <n v="0.5787234042553191"/>
    <n v="0.64255319148936174"/>
    <n v="6.868936170212768"/>
    <n v="6.2269503546099294"/>
  </r>
  <r>
    <n v="195"/>
    <n v="20"/>
    <x v="0"/>
    <x v="0"/>
    <x v="108"/>
    <n v="4.5999999999999996"/>
    <x v="4"/>
    <x v="1"/>
    <n v="8.1"/>
    <n v="7"/>
    <s v="Single"/>
    <n v="5"/>
    <x v="0"/>
    <x v="0"/>
    <x v="2"/>
    <s v="Healthy"/>
    <n v="0"/>
    <s v="Good"/>
    <n v="0.5787234042553191"/>
    <n v="0.64255319148936174"/>
    <n v="6.868936170212768"/>
    <n v="6.2269503546099294"/>
  </r>
  <r>
    <n v="196"/>
    <n v="22"/>
    <x v="1"/>
    <x v="1"/>
    <x v="109"/>
    <n v="4.9000000000000004"/>
    <x v="2"/>
    <x v="0"/>
    <n v="4.9000000000000004"/>
    <n v="6"/>
    <s v="In Relationship"/>
    <n v="8"/>
    <x v="1"/>
    <x v="0"/>
    <x v="0"/>
    <s v="Poor"/>
    <n v="1"/>
    <s v="Average"/>
    <n v="0.5787234042553191"/>
    <n v="0.64255319148936174"/>
    <n v="6.868936170212768"/>
    <n v="6.2269503546099294"/>
  </r>
  <r>
    <n v="197"/>
    <n v="19"/>
    <x v="0"/>
    <x v="0"/>
    <x v="0"/>
    <n v="4.4000000000000004"/>
    <x v="0"/>
    <x v="0"/>
    <n v="7.4"/>
    <n v="5"/>
    <s v="Single"/>
    <n v="7"/>
    <x v="0"/>
    <x v="0"/>
    <x v="0"/>
    <s v="Healthy"/>
    <n v="1"/>
    <s v="Average"/>
    <n v="0.5787234042553191"/>
    <n v="0.64255319148936174"/>
    <n v="6.868936170212768"/>
    <n v="6.2269503546099294"/>
  </r>
  <r>
    <n v="198"/>
    <n v="21"/>
    <x v="1"/>
    <x v="1"/>
    <x v="1"/>
    <n v="4.7"/>
    <x v="4"/>
    <x v="1"/>
    <n v="8.1999999999999993"/>
    <n v="7"/>
    <s v="In Relationship"/>
    <n v="6"/>
    <x v="0"/>
    <x v="0"/>
    <x v="2"/>
    <s v="Healthy"/>
    <n v="0"/>
    <s v="Good"/>
    <n v="0.5787234042553191"/>
    <n v="0.64255319148936174"/>
    <n v="6.868936170212768"/>
    <n v="6.2269503546099294"/>
  </r>
  <r>
    <n v="199"/>
    <n v="20"/>
    <x v="0"/>
    <x v="0"/>
    <x v="106"/>
    <n v="6.1"/>
    <x v="2"/>
    <x v="0"/>
    <n v="4.8"/>
    <n v="6"/>
    <s v="Single"/>
    <n v="8"/>
    <x v="0"/>
    <x v="2"/>
    <x v="0"/>
    <s v="Poor"/>
    <n v="1"/>
    <s v="Average"/>
    <n v="0.5787234042553191"/>
    <n v="0.64255319148936174"/>
    <n v="6.868936170212768"/>
    <n v="6.2269503546099294"/>
  </r>
  <r>
    <n v="200"/>
    <n v="22"/>
    <x v="1"/>
    <x v="1"/>
    <x v="105"/>
    <n v="4.0999999999999996"/>
    <x v="0"/>
    <x v="0"/>
    <n v="7.5"/>
    <n v="5"/>
    <s v="In Relationship"/>
    <n v="7"/>
    <x v="1"/>
    <x v="0"/>
    <x v="0"/>
    <s v="Healthy"/>
    <n v="1"/>
    <s v="Average"/>
    <n v="0.5787234042553191"/>
    <n v="0.64255319148936174"/>
    <n v="6.868936170212768"/>
    <n v="6.2269503546099294"/>
  </r>
  <r>
    <n v="201"/>
    <n v="19"/>
    <x v="0"/>
    <x v="0"/>
    <x v="108"/>
    <n v="4.5"/>
    <x v="4"/>
    <x v="1"/>
    <n v="8.3000000000000007"/>
    <n v="7"/>
    <s v="Single"/>
    <n v="5"/>
    <x v="0"/>
    <x v="0"/>
    <x v="2"/>
    <s v="Healthy"/>
    <n v="0"/>
    <s v="Good"/>
    <n v="0.5787234042553191"/>
    <n v="0.64255319148936174"/>
    <n v="6.868936170212768"/>
    <n v="6.2269503546099294"/>
  </r>
  <r>
    <n v="202"/>
    <n v="21"/>
    <x v="1"/>
    <x v="1"/>
    <x v="109"/>
    <n v="4.8"/>
    <x v="2"/>
    <x v="0"/>
    <n v="4.7"/>
    <n v="6"/>
    <s v="In Relationship"/>
    <n v="8"/>
    <x v="0"/>
    <x v="0"/>
    <x v="0"/>
    <s v="Poor"/>
    <n v="1"/>
    <s v="Average"/>
    <n v="0.5787234042553191"/>
    <n v="0.64255319148936174"/>
    <n v="6.868936170212768"/>
    <n v="6.2269503546099294"/>
  </r>
  <r>
    <n v="203"/>
    <n v="20"/>
    <x v="0"/>
    <x v="0"/>
    <x v="0"/>
    <n v="4.3"/>
    <x v="0"/>
    <x v="0"/>
    <n v="7.6"/>
    <n v="5"/>
    <s v="Single"/>
    <n v="7"/>
    <x v="0"/>
    <x v="0"/>
    <x v="0"/>
    <s v="Healthy"/>
    <n v="1"/>
    <s v="Average"/>
    <n v="0.5787234042553191"/>
    <n v="0.64255319148936174"/>
    <n v="6.868936170212768"/>
    <n v="6.2269503546099294"/>
  </r>
  <r>
    <n v="204"/>
    <n v="22"/>
    <x v="1"/>
    <x v="1"/>
    <x v="1"/>
    <n v="4.5999999999999996"/>
    <x v="4"/>
    <x v="1"/>
    <n v="8.4"/>
    <n v="7"/>
    <s v="In Relationship"/>
    <n v="6"/>
    <x v="1"/>
    <x v="0"/>
    <x v="2"/>
    <s v="Healthy"/>
    <n v="0"/>
    <s v="Good"/>
    <n v="0.5787234042553191"/>
    <n v="0.64255319148936174"/>
    <n v="6.868936170212768"/>
    <n v="6.2269503546099294"/>
  </r>
  <r>
    <n v="205"/>
    <n v="19"/>
    <x v="0"/>
    <x v="0"/>
    <x v="106"/>
    <n v="6.2"/>
    <x v="2"/>
    <x v="0"/>
    <n v="4.5999999999999996"/>
    <n v="6"/>
    <s v="Single"/>
    <n v="8"/>
    <x v="0"/>
    <x v="2"/>
    <x v="0"/>
    <s v="Poor"/>
    <n v="1"/>
    <s v="Average"/>
    <n v="0.5787234042553191"/>
    <n v="0.64255319148936174"/>
    <n v="6.868936170212768"/>
    <n v="6.2269503546099294"/>
  </r>
  <r>
    <n v="206"/>
    <n v="21"/>
    <x v="1"/>
    <x v="1"/>
    <x v="105"/>
    <n v="4"/>
    <x v="0"/>
    <x v="0"/>
    <n v="7.7"/>
    <n v="5"/>
    <s v="In Relationship"/>
    <n v="7"/>
    <x v="0"/>
    <x v="0"/>
    <x v="0"/>
    <s v="Healthy"/>
    <n v="1"/>
    <s v="Average"/>
    <n v="0.5787234042553191"/>
    <n v="0.64255319148936174"/>
    <n v="6.868936170212768"/>
    <n v="6.2269503546099294"/>
  </r>
  <r>
    <n v="207"/>
    <n v="20"/>
    <x v="0"/>
    <x v="0"/>
    <x v="108"/>
    <n v="4.4000000000000004"/>
    <x v="4"/>
    <x v="1"/>
    <n v="8.5"/>
    <n v="7"/>
    <s v="Single"/>
    <n v="5"/>
    <x v="0"/>
    <x v="0"/>
    <x v="2"/>
    <s v="Healthy"/>
    <n v="0"/>
    <s v="Good"/>
    <n v="0.5787234042553191"/>
    <n v="0.64255319148936174"/>
    <n v="6.868936170212768"/>
    <n v="6.2269503546099294"/>
  </r>
  <r>
    <n v="208"/>
    <n v="22"/>
    <x v="1"/>
    <x v="1"/>
    <x v="109"/>
    <n v="4.7"/>
    <x v="2"/>
    <x v="0"/>
    <n v="4.5"/>
    <n v="6"/>
    <s v="In Relationship"/>
    <n v="8"/>
    <x v="1"/>
    <x v="0"/>
    <x v="0"/>
    <s v="Poor"/>
    <n v="1"/>
    <s v="Average"/>
    <n v="0.5787234042553191"/>
    <n v="0.64255319148936174"/>
    <n v="6.868936170212768"/>
    <n v="6.2269503546099294"/>
  </r>
  <r>
    <n v="209"/>
    <n v="19"/>
    <x v="0"/>
    <x v="0"/>
    <x v="0"/>
    <n v="4.2"/>
    <x v="0"/>
    <x v="0"/>
    <n v="7.8"/>
    <n v="5"/>
    <s v="Single"/>
    <n v="7"/>
    <x v="0"/>
    <x v="0"/>
    <x v="0"/>
    <s v="Healthy"/>
    <n v="1"/>
    <s v="Average"/>
    <n v="0.5787234042553191"/>
    <n v="0.64255319148936174"/>
    <n v="6.868936170212768"/>
    <n v="6.2269503546099294"/>
  </r>
  <r>
    <n v="210"/>
    <n v="21"/>
    <x v="1"/>
    <x v="1"/>
    <x v="1"/>
    <n v="4.5"/>
    <x v="4"/>
    <x v="1"/>
    <n v="8.6"/>
    <n v="7"/>
    <s v="In Relationship"/>
    <n v="6"/>
    <x v="0"/>
    <x v="0"/>
    <x v="2"/>
    <s v="Healthy"/>
    <n v="0"/>
    <s v="Good"/>
    <n v="0.5787234042553191"/>
    <n v="0.64255319148936174"/>
    <n v="6.868936170212768"/>
    <n v="6.2269503546099294"/>
  </r>
  <r>
    <n v="211"/>
    <n v="20"/>
    <x v="0"/>
    <x v="0"/>
    <x v="106"/>
    <n v="6.3"/>
    <x v="2"/>
    <x v="0"/>
    <n v="4.4000000000000004"/>
    <n v="6"/>
    <s v="Single"/>
    <n v="8"/>
    <x v="0"/>
    <x v="2"/>
    <x v="0"/>
    <s v="Poor"/>
    <n v="1"/>
    <s v="Average"/>
    <n v="0.5787234042553191"/>
    <n v="0.64255319148936174"/>
    <n v="6.868936170212768"/>
    <n v="6.2269503546099294"/>
  </r>
  <r>
    <n v="212"/>
    <n v="22"/>
    <x v="1"/>
    <x v="1"/>
    <x v="105"/>
    <n v="3.9"/>
    <x v="0"/>
    <x v="0"/>
    <n v="7.9"/>
    <n v="5"/>
    <s v="In Relationship"/>
    <n v="7"/>
    <x v="1"/>
    <x v="1"/>
    <x v="0"/>
    <s v="Healthy"/>
    <n v="1"/>
    <s v="Average"/>
    <n v="0.5787234042553191"/>
    <n v="0.64255319148936174"/>
    <n v="6.868936170212768"/>
    <n v="6.2269503546099294"/>
  </r>
  <r>
    <n v="213"/>
    <n v="19"/>
    <x v="0"/>
    <x v="0"/>
    <x v="108"/>
    <n v="4.3"/>
    <x v="4"/>
    <x v="1"/>
    <n v="8.6999999999999993"/>
    <n v="7"/>
    <s v="Single"/>
    <n v="5"/>
    <x v="0"/>
    <x v="0"/>
    <x v="2"/>
    <s v="Healthy"/>
    <n v="0"/>
    <s v="Good"/>
    <n v="0.5787234042553191"/>
    <n v="0.64255319148936174"/>
    <n v="6.868936170212768"/>
    <n v="6.2269503546099294"/>
  </r>
  <r>
    <n v="214"/>
    <n v="21"/>
    <x v="1"/>
    <x v="1"/>
    <x v="109"/>
    <n v="4.5999999999999996"/>
    <x v="2"/>
    <x v="0"/>
    <n v="4.3"/>
    <n v="6"/>
    <s v="In Relationship"/>
    <n v="8"/>
    <x v="0"/>
    <x v="0"/>
    <x v="0"/>
    <s v="Poor"/>
    <n v="1"/>
    <s v="Average"/>
    <n v="0.5787234042553191"/>
    <n v="0.64255319148936174"/>
    <n v="6.868936170212768"/>
    <n v="6.2269503546099294"/>
  </r>
  <r>
    <n v="215"/>
    <n v="20"/>
    <x v="0"/>
    <x v="0"/>
    <x v="0"/>
    <n v="4.0999999999999996"/>
    <x v="0"/>
    <x v="0"/>
    <n v="8"/>
    <n v="5"/>
    <s v="Single"/>
    <n v="7"/>
    <x v="0"/>
    <x v="0"/>
    <x v="0"/>
    <s v="Healthy"/>
    <n v="1"/>
    <s v="Average"/>
    <n v="0.5787234042553191"/>
    <n v="0.64255319148936174"/>
    <n v="6.868936170212768"/>
    <n v="6.2269503546099294"/>
  </r>
  <r>
    <n v="216"/>
    <n v="22"/>
    <x v="1"/>
    <x v="1"/>
    <x v="1"/>
    <n v="4.4000000000000004"/>
    <x v="4"/>
    <x v="1"/>
    <n v="8.8000000000000007"/>
    <n v="7"/>
    <s v="In Relationship"/>
    <n v="6"/>
    <x v="1"/>
    <x v="0"/>
    <x v="2"/>
    <s v="Healthy"/>
    <n v="0"/>
    <s v="Good"/>
    <n v="0.5787234042553191"/>
    <n v="0.64255319148936174"/>
    <n v="6.868936170212768"/>
    <n v="6.2269503546099294"/>
  </r>
  <r>
    <n v="217"/>
    <n v="19"/>
    <x v="0"/>
    <x v="0"/>
    <x v="106"/>
    <n v="6.4"/>
    <x v="2"/>
    <x v="0"/>
    <n v="4.2"/>
    <n v="6"/>
    <s v="Single"/>
    <n v="8"/>
    <x v="0"/>
    <x v="2"/>
    <x v="0"/>
    <s v="Poor"/>
    <n v="1"/>
    <s v="Average"/>
    <n v="0.5787234042553191"/>
    <n v="0.64255319148936174"/>
    <n v="6.868936170212768"/>
    <n v="6.2269503546099294"/>
  </r>
  <r>
    <n v="218"/>
    <n v="21"/>
    <x v="1"/>
    <x v="1"/>
    <x v="105"/>
    <n v="3.8"/>
    <x v="0"/>
    <x v="0"/>
    <n v="8.1"/>
    <n v="5"/>
    <s v="In Relationship"/>
    <n v="7"/>
    <x v="0"/>
    <x v="1"/>
    <x v="0"/>
    <s v="Healthy"/>
    <n v="1"/>
    <s v="Average"/>
    <n v="0.5787234042553191"/>
    <n v="0.64255319148936174"/>
    <n v="6.868936170212768"/>
    <n v="6.2269503546099294"/>
  </r>
  <r>
    <n v="219"/>
    <n v="20"/>
    <x v="0"/>
    <x v="0"/>
    <x v="108"/>
    <n v="4.2"/>
    <x v="4"/>
    <x v="1"/>
    <n v="8.9"/>
    <n v="7"/>
    <s v="Single"/>
    <n v="5"/>
    <x v="0"/>
    <x v="0"/>
    <x v="2"/>
    <s v="Healthy"/>
    <n v="0"/>
    <s v="Good"/>
    <n v="0.5787234042553191"/>
    <n v="0.64255319148936174"/>
    <n v="6.868936170212768"/>
    <n v="6.2269503546099294"/>
  </r>
  <r>
    <n v="220"/>
    <n v="22"/>
    <x v="1"/>
    <x v="1"/>
    <x v="109"/>
    <n v="4.5"/>
    <x v="2"/>
    <x v="0"/>
    <n v="4.0999999999999996"/>
    <n v="6"/>
    <s v="In Relationship"/>
    <n v="8"/>
    <x v="1"/>
    <x v="0"/>
    <x v="0"/>
    <s v="Poor"/>
    <n v="1"/>
    <s v="Average"/>
    <n v="0.5787234042553191"/>
    <n v="0.64255319148936174"/>
    <n v="6.868936170212768"/>
    <n v="6.2269503546099294"/>
  </r>
  <r>
    <n v="221"/>
    <n v="19"/>
    <x v="0"/>
    <x v="0"/>
    <x v="2"/>
    <n v="6.5"/>
    <x v="0"/>
    <x v="0"/>
    <n v="6"/>
    <n v="5"/>
    <s v="Single"/>
    <n v="9"/>
    <x v="0"/>
    <x v="2"/>
    <x v="0"/>
    <s v="Average"/>
    <n v="1"/>
    <s v="Average"/>
    <n v="0.5787234042553191"/>
    <n v="0.64255319148936174"/>
    <n v="6.868936170212768"/>
    <n v="6.2269503546099294"/>
  </r>
  <r>
    <n v="222"/>
    <n v="21"/>
    <x v="1"/>
    <x v="1"/>
    <x v="3"/>
    <n v="5.8"/>
    <x v="2"/>
    <x v="0"/>
    <n v="6.5"/>
    <n v="6"/>
    <s v="In Relationship"/>
    <n v="7"/>
    <x v="0"/>
    <x v="0"/>
    <x v="0"/>
    <s v="Average"/>
    <n v="1"/>
    <s v="Average"/>
    <n v="0.5787234042553191"/>
    <n v="0.64255319148936174"/>
    <n v="6.868936170212768"/>
    <n v="6.2269503546099294"/>
  </r>
  <r>
    <n v="223"/>
    <n v="20"/>
    <x v="0"/>
    <x v="0"/>
    <x v="5"/>
    <n v="4.5"/>
    <x v="0"/>
    <x v="1"/>
    <n v="7.5"/>
    <n v="8"/>
    <s v="Single"/>
    <n v="5"/>
    <x v="0"/>
    <x v="0"/>
    <x v="2"/>
    <s v="Healthy"/>
    <n v="0"/>
    <s v="Good"/>
    <n v="0.5787234042553191"/>
    <n v="0.64255319148936174"/>
    <n v="6.868936170212768"/>
    <n v="6.2269503546099294"/>
  </r>
  <r>
    <n v="224"/>
    <n v="22"/>
    <x v="1"/>
    <x v="1"/>
    <x v="6"/>
    <n v="4.2"/>
    <x v="4"/>
    <x v="1"/>
    <n v="7.8"/>
    <n v="7"/>
    <s v="In Relationship"/>
    <n v="4"/>
    <x v="1"/>
    <x v="0"/>
    <x v="2"/>
    <s v="Healthy"/>
    <n v="0"/>
    <s v="Good"/>
    <n v="0.5787234042553191"/>
    <n v="0.64255319148936174"/>
    <n v="6.868936170212768"/>
    <n v="6.2269503546099294"/>
  </r>
  <r>
    <n v="225"/>
    <n v="19"/>
    <x v="0"/>
    <x v="0"/>
    <x v="8"/>
    <n v="3.8"/>
    <x v="7"/>
    <x v="1"/>
    <n v="7.9"/>
    <n v="8"/>
    <s v="Single"/>
    <n v="3"/>
    <x v="0"/>
    <x v="1"/>
    <x v="1"/>
    <s v="Healthy"/>
    <n v="0"/>
    <s v="Good"/>
    <n v="0.5787234042553191"/>
    <n v="0.64255319148936174"/>
    <n v="6.868936170212768"/>
    <n v="6.2269503546099294"/>
  </r>
  <r>
    <n v="226"/>
    <n v="21"/>
    <x v="1"/>
    <x v="1"/>
    <x v="12"/>
    <n v="5.5"/>
    <x v="0"/>
    <x v="0"/>
    <n v="6.8"/>
    <n v="6"/>
    <s v="Single"/>
    <n v="7"/>
    <x v="0"/>
    <x v="0"/>
    <x v="0"/>
    <s v="Average"/>
    <n v="1"/>
    <s v="Average"/>
    <n v="0.5787234042553191"/>
    <n v="0.64255319148936174"/>
    <n v="6.868936170212768"/>
    <n v="6.2269503546099294"/>
  </r>
  <r>
    <n v="227"/>
    <n v="20"/>
    <x v="0"/>
    <x v="0"/>
    <x v="9"/>
    <n v="5.2"/>
    <x v="8"/>
    <x v="0"/>
    <n v="6.5"/>
    <n v="6"/>
    <s v="In Relationship"/>
    <n v="6"/>
    <x v="0"/>
    <x v="0"/>
    <x v="2"/>
    <s v="Average"/>
    <n v="1"/>
    <s v="Average"/>
    <n v="0.5787234042553191"/>
    <n v="0.64255319148936174"/>
    <n v="6.868936170212768"/>
    <n v="6.2269503546099294"/>
  </r>
  <r>
    <n v="228"/>
    <n v="22"/>
    <x v="1"/>
    <x v="1"/>
    <x v="14"/>
    <n v="4.8"/>
    <x v="9"/>
    <x v="1"/>
    <n v="7.2"/>
    <n v="7"/>
    <s v="Single"/>
    <n v="5"/>
    <x v="1"/>
    <x v="0"/>
    <x v="2"/>
    <s v="Healthy"/>
    <n v="0"/>
    <s v="Good"/>
    <n v="0.5787234042553191"/>
    <n v="0.64255319148936174"/>
    <n v="6.868936170212768"/>
    <n v="6.2269503546099294"/>
  </r>
  <r>
    <n v="229"/>
    <n v="19"/>
    <x v="0"/>
    <x v="0"/>
    <x v="2"/>
    <n v="7"/>
    <x v="2"/>
    <x v="0"/>
    <n v="5.8"/>
    <n v="4"/>
    <s v="In Relationship"/>
    <n v="9"/>
    <x v="0"/>
    <x v="2"/>
    <x v="0"/>
    <s v="Poor"/>
    <n v="1"/>
    <s v="Poor"/>
    <n v="0.5787234042553191"/>
    <n v="0.64255319148936174"/>
    <n v="6.868936170212768"/>
    <n v="6.2269503546099294"/>
  </r>
  <r>
    <n v="230"/>
    <n v="21"/>
    <x v="1"/>
    <x v="1"/>
    <x v="3"/>
    <n v="5.5"/>
    <x v="0"/>
    <x v="0"/>
    <n v="6.7"/>
    <n v="6"/>
    <s v="Single"/>
    <n v="7"/>
    <x v="0"/>
    <x v="0"/>
    <x v="0"/>
    <s v="Average"/>
    <n v="1"/>
    <s v="Average"/>
    <n v="0.5787234042553191"/>
    <n v="0.64255319148936174"/>
    <n v="6.868936170212768"/>
    <n v="6.2269503546099294"/>
  </r>
  <r>
    <n v="231"/>
    <n v="20"/>
    <x v="0"/>
    <x v="0"/>
    <x v="5"/>
    <n v="4.7"/>
    <x v="4"/>
    <x v="1"/>
    <n v="7.4"/>
    <n v="7"/>
    <s v="In Relationship"/>
    <n v="5"/>
    <x v="0"/>
    <x v="0"/>
    <x v="2"/>
    <s v="Healthy"/>
    <n v="0"/>
    <s v="Good"/>
    <n v="0.5787234042553191"/>
    <n v="0.64255319148936174"/>
    <n v="6.868936170212768"/>
    <n v="6.2269503546099294"/>
  </r>
  <r>
    <n v="232"/>
    <n v="22"/>
    <x v="1"/>
    <x v="1"/>
    <x v="6"/>
    <n v="4"/>
    <x v="0"/>
    <x v="1"/>
    <n v="7.9"/>
    <n v="8"/>
    <s v="Single"/>
    <n v="4"/>
    <x v="1"/>
    <x v="0"/>
    <x v="2"/>
    <s v="Healthy"/>
    <n v="0"/>
    <s v="Good"/>
    <n v="0.5787234042553191"/>
    <n v="0.64255319148936174"/>
    <n v="6.868936170212768"/>
    <n v="6.2269503546099294"/>
  </r>
  <r>
    <n v="233"/>
    <n v="19"/>
    <x v="0"/>
    <x v="0"/>
    <x v="8"/>
    <n v="3.5"/>
    <x v="7"/>
    <x v="1"/>
    <n v="8"/>
    <n v="8"/>
    <s v="Single"/>
    <n v="3"/>
    <x v="0"/>
    <x v="1"/>
    <x v="1"/>
    <s v="Healthy"/>
    <n v="0"/>
    <s v="Good"/>
    <n v="0.5787234042553191"/>
    <n v="0.64255319148936174"/>
    <n v="6.868936170212768"/>
    <n v="6.2269503546099294"/>
  </r>
  <r>
    <n v="234"/>
    <n v="21"/>
    <x v="1"/>
    <x v="1"/>
    <x v="12"/>
    <n v="5.7"/>
    <x v="2"/>
    <x v="0"/>
    <n v="6.5"/>
    <n v="5"/>
    <s v="In Relationship"/>
    <n v="8"/>
    <x v="0"/>
    <x v="0"/>
    <x v="0"/>
    <s v="Average"/>
    <n v="1"/>
    <s v="Average"/>
    <n v="0.5787234042553191"/>
    <n v="0.64255319148936174"/>
    <n v="6.868936170212768"/>
    <n v="6.2269503546099294"/>
  </r>
  <r>
    <n v="235"/>
    <n v="20"/>
    <x v="0"/>
    <x v="0"/>
    <x v="9"/>
    <n v="5"/>
    <x v="8"/>
    <x v="0"/>
    <n v="6.8"/>
    <n v="6"/>
    <s v="Single"/>
    <n v="6"/>
    <x v="0"/>
    <x v="0"/>
    <x v="2"/>
    <s v="Average"/>
    <n v="1"/>
    <s v="Average"/>
    <n v="0.5787234042553191"/>
    <n v="0.64255319148936174"/>
    <n v="6.868936170212768"/>
    <n v="6.2269503546099294"/>
  </r>
  <r>
    <n v="236"/>
    <n v="22"/>
    <x v="1"/>
    <x v="1"/>
    <x v="14"/>
    <n v="4.5"/>
    <x v="9"/>
    <x v="1"/>
    <n v="7.4"/>
    <n v="7"/>
    <s v="In Relationship"/>
    <n v="5"/>
    <x v="1"/>
    <x v="0"/>
    <x v="2"/>
    <s v="Healthy"/>
    <n v="0"/>
    <s v="Good"/>
    <n v="0.5787234042553191"/>
    <n v="0.64255319148936174"/>
    <n v="6.868936170212768"/>
    <n v="6.2269503546099294"/>
  </r>
  <r>
    <n v="237"/>
    <n v="19"/>
    <x v="0"/>
    <x v="0"/>
    <x v="2"/>
    <n v="6.8"/>
    <x v="0"/>
    <x v="0"/>
    <n v="5.9"/>
    <n v="4"/>
    <s v="Single"/>
    <n v="9"/>
    <x v="0"/>
    <x v="2"/>
    <x v="0"/>
    <s v="Poor"/>
    <n v="1"/>
    <s v="Poor"/>
    <n v="0.5787234042553191"/>
    <n v="0.64255319148936174"/>
    <n v="6.868936170212768"/>
    <n v="6.2269503546099294"/>
  </r>
  <r>
    <n v="238"/>
    <n v="21"/>
    <x v="1"/>
    <x v="1"/>
    <x v="3"/>
    <n v="5.6"/>
    <x v="4"/>
    <x v="0"/>
    <n v="6.6"/>
    <n v="6"/>
    <s v="In Relationship"/>
    <n v="7"/>
    <x v="0"/>
    <x v="0"/>
    <x v="0"/>
    <s v="Average"/>
    <n v="1"/>
    <s v="Average"/>
    <n v="0.5787234042553191"/>
    <n v="0.64255319148936174"/>
    <n v="6.868936170212768"/>
    <n v="6.2269503546099294"/>
  </r>
  <r>
    <n v="239"/>
    <n v="20"/>
    <x v="0"/>
    <x v="0"/>
    <x v="5"/>
    <n v="4.5999999999999996"/>
    <x v="0"/>
    <x v="1"/>
    <n v="7.3"/>
    <n v="7"/>
    <s v="Single"/>
    <n v="5"/>
    <x v="0"/>
    <x v="0"/>
    <x v="2"/>
    <s v="Healthy"/>
    <n v="0"/>
    <s v="Good"/>
    <n v="0.5787234042553191"/>
    <n v="0.64255319148936174"/>
    <n v="6.868936170212768"/>
    <n v="6.2269503546099294"/>
  </r>
  <r>
    <n v="240"/>
    <n v="22"/>
    <x v="1"/>
    <x v="1"/>
    <x v="6"/>
    <n v="4.0999999999999996"/>
    <x v="4"/>
    <x v="1"/>
    <n v="7.7"/>
    <n v="8"/>
    <s v="In Relationship"/>
    <n v="4"/>
    <x v="1"/>
    <x v="0"/>
    <x v="2"/>
    <s v="Healthy"/>
    <n v="0"/>
    <s v="Good"/>
    <n v="0.5787234042553191"/>
    <n v="0.64255319148936174"/>
    <n v="6.868936170212768"/>
    <n v="6.2269503546099294"/>
  </r>
  <r>
    <n v="241"/>
    <n v="19"/>
    <x v="0"/>
    <x v="0"/>
    <x v="8"/>
    <n v="3.7"/>
    <x v="7"/>
    <x v="1"/>
    <n v="7.8"/>
    <n v="8"/>
    <s v="Single"/>
    <n v="3"/>
    <x v="0"/>
    <x v="1"/>
    <x v="1"/>
    <s v="Healthy"/>
    <n v="0"/>
    <s v="Good"/>
    <n v="0.5787234042553191"/>
    <n v="0.64255319148936174"/>
    <n v="6.868936170212768"/>
    <n v="6.2269503546099294"/>
  </r>
  <r>
    <n v="242"/>
    <n v="21"/>
    <x v="1"/>
    <x v="1"/>
    <x v="12"/>
    <n v="5.4"/>
    <x v="0"/>
    <x v="0"/>
    <n v="6.7"/>
    <n v="5"/>
    <s v="Single"/>
    <n v="7"/>
    <x v="0"/>
    <x v="0"/>
    <x v="0"/>
    <s v="Average"/>
    <n v="1"/>
    <s v="Average"/>
    <n v="0.5787234042553191"/>
    <n v="0.64255319148936174"/>
    <n v="6.868936170212768"/>
    <n v="6.2269503546099294"/>
  </r>
  <r>
    <n v="243"/>
    <n v="20"/>
    <x v="0"/>
    <x v="0"/>
    <x v="9"/>
    <n v="5.0999999999999996"/>
    <x v="8"/>
    <x v="0"/>
    <n v="6.6"/>
    <n v="6"/>
    <s v="In Relationship"/>
    <n v="6"/>
    <x v="0"/>
    <x v="0"/>
    <x v="2"/>
    <s v="Average"/>
    <n v="1"/>
    <s v="Average"/>
    <n v="0.5787234042553191"/>
    <n v="0.64255319148936174"/>
    <n v="6.868936170212768"/>
    <n v="6.2269503546099294"/>
  </r>
  <r>
    <n v="244"/>
    <n v="22"/>
    <x v="1"/>
    <x v="1"/>
    <x v="14"/>
    <n v="4.7"/>
    <x v="9"/>
    <x v="1"/>
    <n v="7.3"/>
    <n v="7"/>
    <s v="Single"/>
    <n v="5"/>
    <x v="1"/>
    <x v="0"/>
    <x v="2"/>
    <s v="Healthy"/>
    <n v="0"/>
    <s v="Good"/>
    <n v="0.5787234042553191"/>
    <n v="0.64255319148936174"/>
    <n v="6.868936170212768"/>
    <n v="6.2269503546099294"/>
  </r>
  <r>
    <n v="245"/>
    <n v="19"/>
    <x v="0"/>
    <x v="0"/>
    <x v="2"/>
    <n v="6.9"/>
    <x v="2"/>
    <x v="0"/>
    <n v="5.7"/>
    <n v="4"/>
    <s v="In Relationship"/>
    <n v="9"/>
    <x v="0"/>
    <x v="2"/>
    <x v="0"/>
    <s v="Poor"/>
    <n v="1"/>
    <s v="Poor"/>
    <n v="0.5787234042553191"/>
    <n v="0.64255319148936174"/>
    <n v="6.868936170212768"/>
    <n v="6.2269503546099294"/>
  </r>
  <r>
    <n v="246"/>
    <n v="21"/>
    <x v="1"/>
    <x v="1"/>
    <x v="3"/>
    <n v="5.7"/>
    <x v="0"/>
    <x v="0"/>
    <n v="6.4"/>
    <n v="6"/>
    <s v="Single"/>
    <n v="7"/>
    <x v="0"/>
    <x v="0"/>
    <x v="0"/>
    <s v="Average"/>
    <n v="1"/>
    <s v="Average"/>
    <n v="0.5787234042553191"/>
    <n v="0.64255319148936174"/>
    <n v="6.868936170212768"/>
    <n v="6.2269503546099294"/>
  </r>
  <r>
    <n v="247"/>
    <n v="20"/>
    <x v="0"/>
    <x v="0"/>
    <x v="5"/>
    <n v="4.8"/>
    <x v="4"/>
    <x v="1"/>
    <n v="7.2"/>
    <n v="7"/>
    <s v="In Relationship"/>
    <n v="5"/>
    <x v="0"/>
    <x v="0"/>
    <x v="2"/>
    <s v="Healthy"/>
    <n v="0"/>
    <s v="Good"/>
    <n v="0.5787234042553191"/>
    <n v="0.64255319148936174"/>
    <n v="6.868936170212768"/>
    <n v="6.2269503546099294"/>
  </r>
  <r>
    <n v="248"/>
    <n v="22"/>
    <x v="1"/>
    <x v="1"/>
    <x v="6"/>
    <n v="3.9"/>
    <x v="0"/>
    <x v="1"/>
    <n v="7.8"/>
    <n v="8"/>
    <s v="Single"/>
    <n v="4"/>
    <x v="1"/>
    <x v="1"/>
    <x v="2"/>
    <s v="Healthy"/>
    <n v="0"/>
    <s v="Good"/>
    <n v="0.5787234042553191"/>
    <n v="0.64255319148936174"/>
    <n v="6.868936170212768"/>
    <n v="6.2269503546099294"/>
  </r>
  <r>
    <n v="249"/>
    <n v="19"/>
    <x v="0"/>
    <x v="0"/>
    <x v="8"/>
    <n v="3.6"/>
    <x v="7"/>
    <x v="1"/>
    <n v="8.1"/>
    <n v="8"/>
    <s v="Single"/>
    <n v="3"/>
    <x v="0"/>
    <x v="1"/>
    <x v="1"/>
    <s v="Healthy"/>
    <n v="0"/>
    <s v="Good"/>
    <n v="0.5787234042553191"/>
    <n v="0.64255319148936174"/>
    <n v="6.868936170212768"/>
    <n v="6.2269503546099294"/>
  </r>
  <r>
    <n v="250"/>
    <n v="21"/>
    <x v="1"/>
    <x v="1"/>
    <x v="12"/>
    <n v="5.6"/>
    <x v="2"/>
    <x v="0"/>
    <n v="6.6"/>
    <n v="5"/>
    <s v="In Relationship"/>
    <n v="8"/>
    <x v="0"/>
    <x v="0"/>
    <x v="0"/>
    <s v="Average"/>
    <n v="1"/>
    <s v="Average"/>
    <n v="0.5787234042553191"/>
    <n v="0.64255319148936174"/>
    <n v="6.868936170212768"/>
    <n v="6.2269503546099294"/>
  </r>
  <r>
    <n v="251"/>
    <n v="20"/>
    <x v="0"/>
    <x v="0"/>
    <x v="9"/>
    <n v="4.9000000000000004"/>
    <x v="8"/>
    <x v="0"/>
    <n v="6.9"/>
    <n v="6"/>
    <s v="Single"/>
    <n v="6"/>
    <x v="0"/>
    <x v="0"/>
    <x v="2"/>
    <s v="Average"/>
    <n v="1"/>
    <s v="Average"/>
    <n v="0.5787234042553191"/>
    <n v="0.64255319148936174"/>
    <n v="6.868936170212768"/>
    <n v="6.2269503546099294"/>
  </r>
  <r>
    <n v="252"/>
    <n v="22"/>
    <x v="1"/>
    <x v="1"/>
    <x v="14"/>
    <n v="4.5999999999999996"/>
    <x v="9"/>
    <x v="1"/>
    <n v="7.5"/>
    <n v="7"/>
    <s v="In Relationship"/>
    <n v="5"/>
    <x v="1"/>
    <x v="0"/>
    <x v="2"/>
    <s v="Healthy"/>
    <n v="0"/>
    <s v="Good"/>
    <n v="0.5787234042553191"/>
    <n v="0.64255319148936174"/>
    <n v="6.868936170212768"/>
    <n v="6.2269503546099294"/>
  </r>
  <r>
    <n v="253"/>
    <n v="19"/>
    <x v="0"/>
    <x v="0"/>
    <x v="2"/>
    <n v="6.7"/>
    <x v="0"/>
    <x v="0"/>
    <n v="5.8"/>
    <n v="4"/>
    <s v="Single"/>
    <n v="9"/>
    <x v="0"/>
    <x v="2"/>
    <x v="0"/>
    <s v="Poor"/>
    <n v="1"/>
    <s v="Poor"/>
    <n v="0.5787234042553191"/>
    <n v="0.64255319148936174"/>
    <n v="6.868936170212768"/>
    <n v="6.2269503546099294"/>
  </r>
  <r>
    <n v="254"/>
    <n v="21"/>
    <x v="1"/>
    <x v="1"/>
    <x v="3"/>
    <n v="5.4"/>
    <x v="4"/>
    <x v="0"/>
    <n v="6.5"/>
    <n v="6"/>
    <s v="In Relationship"/>
    <n v="7"/>
    <x v="0"/>
    <x v="0"/>
    <x v="0"/>
    <s v="Average"/>
    <n v="1"/>
    <s v="Average"/>
    <n v="0.5787234042553191"/>
    <n v="0.64255319148936174"/>
    <n v="6.868936170212768"/>
    <n v="6.2269503546099294"/>
  </r>
  <r>
    <n v="255"/>
    <n v="20"/>
    <x v="0"/>
    <x v="0"/>
    <x v="5"/>
    <n v="4.4000000000000004"/>
    <x v="0"/>
    <x v="1"/>
    <n v="7.4"/>
    <n v="7"/>
    <s v="Single"/>
    <n v="5"/>
    <x v="0"/>
    <x v="0"/>
    <x v="2"/>
    <s v="Healthy"/>
    <n v="0"/>
    <s v="Good"/>
    <n v="0.5787234042553191"/>
    <n v="0.64255319148936174"/>
    <n v="6.868936170212768"/>
    <n v="6.2269503546099294"/>
  </r>
  <r>
    <n v="256"/>
    <n v="22"/>
    <x v="1"/>
    <x v="1"/>
    <x v="6"/>
    <n v="4"/>
    <x v="4"/>
    <x v="1"/>
    <n v="7.6"/>
    <n v="8"/>
    <s v="In Relationship"/>
    <n v="4"/>
    <x v="1"/>
    <x v="0"/>
    <x v="2"/>
    <s v="Healthy"/>
    <n v="0"/>
    <s v="Good"/>
    <n v="0.5787234042553191"/>
    <n v="0.64255319148936174"/>
    <n v="6.868936170212768"/>
    <n v="6.2269503546099294"/>
  </r>
  <r>
    <n v="257"/>
    <n v="19"/>
    <x v="0"/>
    <x v="0"/>
    <x v="8"/>
    <n v="3.4"/>
    <x v="7"/>
    <x v="1"/>
    <n v="8.1999999999999993"/>
    <n v="8"/>
    <s v="Single"/>
    <n v="3"/>
    <x v="0"/>
    <x v="1"/>
    <x v="1"/>
    <s v="Healthy"/>
    <n v="0"/>
    <s v="Good"/>
    <n v="0.5787234042553191"/>
    <n v="0.64255319148936174"/>
    <n v="6.868936170212768"/>
    <n v="6.2269503546099294"/>
  </r>
  <r>
    <n v="258"/>
    <n v="21"/>
    <x v="1"/>
    <x v="1"/>
    <x v="12"/>
    <n v="5.3"/>
    <x v="0"/>
    <x v="0"/>
    <n v="6.8"/>
    <n v="5"/>
    <s v="Single"/>
    <n v="7"/>
    <x v="0"/>
    <x v="0"/>
    <x v="0"/>
    <s v="Average"/>
    <n v="1"/>
    <s v="Average"/>
    <n v="0.5787234042553191"/>
    <n v="0.64255319148936174"/>
    <n v="6.868936170212768"/>
    <n v="6.2269503546099294"/>
  </r>
  <r>
    <n v="259"/>
    <n v="20"/>
    <x v="0"/>
    <x v="0"/>
    <x v="9"/>
    <n v="5"/>
    <x v="8"/>
    <x v="0"/>
    <n v="6.7"/>
    <n v="6"/>
    <s v="In Relationship"/>
    <n v="6"/>
    <x v="0"/>
    <x v="0"/>
    <x v="2"/>
    <s v="Average"/>
    <n v="1"/>
    <s v="Average"/>
    <n v="0.5787234042553191"/>
    <n v="0.64255319148936174"/>
    <n v="6.868936170212768"/>
    <n v="6.2269503546099294"/>
  </r>
  <r>
    <n v="260"/>
    <n v="22"/>
    <x v="1"/>
    <x v="1"/>
    <x v="14"/>
    <n v="4.4000000000000004"/>
    <x v="9"/>
    <x v="1"/>
    <n v="7.6"/>
    <n v="7"/>
    <s v="Single"/>
    <n v="5"/>
    <x v="1"/>
    <x v="0"/>
    <x v="2"/>
    <s v="Healthy"/>
    <n v="0"/>
    <s v="Good"/>
    <n v="0.5787234042553191"/>
    <n v="0.64255319148936174"/>
    <n v="6.868936170212768"/>
    <n v="6.2269503546099294"/>
  </r>
  <r>
    <n v="261"/>
    <n v="19"/>
    <x v="0"/>
    <x v="0"/>
    <x v="2"/>
    <n v="6.6"/>
    <x v="2"/>
    <x v="0"/>
    <n v="5.6"/>
    <n v="4"/>
    <s v="In Relationship"/>
    <n v="9"/>
    <x v="0"/>
    <x v="2"/>
    <x v="0"/>
    <s v="Poor"/>
    <n v="1"/>
    <s v="Poor"/>
    <n v="0.5787234042553191"/>
    <n v="0.64255319148936174"/>
    <n v="6.868936170212768"/>
    <n v="6.2269503546099294"/>
  </r>
  <r>
    <n v="262"/>
    <n v="21"/>
    <x v="1"/>
    <x v="1"/>
    <x v="3"/>
    <n v="5.3"/>
    <x v="0"/>
    <x v="0"/>
    <n v="6.3"/>
    <n v="6"/>
    <s v="Single"/>
    <n v="7"/>
    <x v="0"/>
    <x v="0"/>
    <x v="0"/>
    <s v="Average"/>
    <n v="1"/>
    <s v="Average"/>
    <n v="0.5787234042553191"/>
    <n v="0.64255319148936174"/>
    <n v="6.868936170212768"/>
    <n v="6.2269503546099294"/>
  </r>
  <r>
    <n v="263"/>
    <n v="20"/>
    <x v="0"/>
    <x v="0"/>
    <x v="5"/>
    <n v="4.3"/>
    <x v="4"/>
    <x v="1"/>
    <n v="7.5"/>
    <n v="7"/>
    <s v="In Relationship"/>
    <n v="5"/>
    <x v="0"/>
    <x v="0"/>
    <x v="2"/>
    <s v="Healthy"/>
    <n v="0"/>
    <s v="Good"/>
    <n v="0.5787234042553191"/>
    <n v="0.64255319148936174"/>
    <n v="6.868936170212768"/>
    <n v="6.2269503546099294"/>
  </r>
  <r>
    <n v="264"/>
    <n v="22"/>
    <x v="1"/>
    <x v="1"/>
    <x v="6"/>
    <n v="3.8"/>
    <x v="0"/>
    <x v="1"/>
    <n v="7.7"/>
    <n v="8"/>
    <s v="Single"/>
    <n v="4"/>
    <x v="1"/>
    <x v="1"/>
    <x v="2"/>
    <s v="Healthy"/>
    <n v="0"/>
    <s v="Good"/>
    <n v="0.5787234042553191"/>
    <n v="0.64255319148936174"/>
    <n v="6.868936170212768"/>
    <n v="6.2269503546099294"/>
  </r>
  <r>
    <n v="265"/>
    <n v="19"/>
    <x v="0"/>
    <x v="0"/>
    <x v="8"/>
    <n v="3.3"/>
    <x v="7"/>
    <x v="1"/>
    <n v="8.3000000000000007"/>
    <n v="8"/>
    <s v="Single"/>
    <n v="3"/>
    <x v="0"/>
    <x v="1"/>
    <x v="1"/>
    <s v="Healthy"/>
    <n v="0"/>
    <s v="Good"/>
    <n v="0.5787234042553191"/>
    <n v="0.64255319148936174"/>
    <n v="6.868936170212768"/>
    <n v="6.2269503546099294"/>
  </r>
  <r>
    <n v="266"/>
    <n v="21"/>
    <x v="1"/>
    <x v="1"/>
    <x v="12"/>
    <n v="5.2"/>
    <x v="2"/>
    <x v="0"/>
    <n v="6.9"/>
    <n v="5"/>
    <s v="In Relationship"/>
    <n v="8"/>
    <x v="0"/>
    <x v="0"/>
    <x v="0"/>
    <s v="Average"/>
    <n v="1"/>
    <s v="Average"/>
    <n v="0.5787234042553191"/>
    <n v="0.64255319148936174"/>
    <n v="6.868936170212768"/>
    <n v="6.2269503546099294"/>
  </r>
  <r>
    <n v="267"/>
    <n v="20"/>
    <x v="0"/>
    <x v="0"/>
    <x v="9"/>
    <n v="4.8"/>
    <x v="8"/>
    <x v="0"/>
    <n v="7"/>
    <n v="6"/>
    <s v="Single"/>
    <n v="6"/>
    <x v="0"/>
    <x v="0"/>
    <x v="2"/>
    <s v="Average"/>
    <n v="1"/>
    <s v="Average"/>
    <n v="0.5787234042553191"/>
    <n v="0.64255319148936174"/>
    <n v="6.868936170212768"/>
    <n v="6.2269503546099294"/>
  </r>
  <r>
    <n v="268"/>
    <n v="22"/>
    <x v="1"/>
    <x v="1"/>
    <x v="14"/>
    <n v="4.3"/>
    <x v="9"/>
    <x v="1"/>
    <n v="7.7"/>
    <n v="7"/>
    <s v="In Relationship"/>
    <n v="5"/>
    <x v="1"/>
    <x v="0"/>
    <x v="2"/>
    <s v="Healthy"/>
    <n v="0"/>
    <s v="Good"/>
    <n v="0.5787234042553191"/>
    <n v="0.64255319148936174"/>
    <n v="6.868936170212768"/>
    <n v="6.2269503546099294"/>
  </r>
  <r>
    <n v="269"/>
    <n v="19"/>
    <x v="0"/>
    <x v="0"/>
    <x v="2"/>
    <n v="6.4"/>
    <x v="0"/>
    <x v="0"/>
    <n v="5.7"/>
    <n v="4"/>
    <s v="Single"/>
    <n v="9"/>
    <x v="0"/>
    <x v="2"/>
    <x v="0"/>
    <s v="Poor"/>
    <n v="1"/>
    <s v="Poor"/>
    <n v="0.5787234042553191"/>
    <n v="0.64255319148936174"/>
    <n v="6.868936170212768"/>
    <n v="6.2269503546099294"/>
  </r>
  <r>
    <n v="270"/>
    <n v="21"/>
    <x v="1"/>
    <x v="1"/>
    <x v="3"/>
    <n v="5.2"/>
    <x v="4"/>
    <x v="0"/>
    <n v="6.4"/>
    <n v="6"/>
    <s v="In Relationship"/>
    <n v="7"/>
    <x v="0"/>
    <x v="0"/>
    <x v="0"/>
    <s v="Average"/>
    <n v="1"/>
    <s v="Average"/>
    <n v="0.5787234042553191"/>
    <n v="0.64255319148936174"/>
    <n v="6.868936170212768"/>
    <n v="6.2269503546099294"/>
  </r>
  <r>
    <n v="271"/>
    <n v="20"/>
    <x v="0"/>
    <x v="0"/>
    <x v="5"/>
    <n v="4.5"/>
    <x v="0"/>
    <x v="1"/>
    <n v="7.3"/>
    <n v="7"/>
    <s v="Single"/>
    <n v="5"/>
    <x v="0"/>
    <x v="0"/>
    <x v="2"/>
    <s v="Healthy"/>
    <n v="0"/>
    <s v="Good"/>
    <n v="0.5787234042553191"/>
    <n v="0.64255319148936174"/>
    <n v="6.868936170212768"/>
    <n v="6.2269503546099294"/>
  </r>
  <r>
    <n v="272"/>
    <n v="22"/>
    <x v="1"/>
    <x v="1"/>
    <x v="6"/>
    <n v="3.7"/>
    <x v="4"/>
    <x v="1"/>
    <n v="7.8"/>
    <n v="8"/>
    <s v="In Relationship"/>
    <n v="4"/>
    <x v="1"/>
    <x v="1"/>
    <x v="2"/>
    <s v="Healthy"/>
    <n v="0"/>
    <s v="Good"/>
    <n v="0.5787234042553191"/>
    <n v="0.64255319148936174"/>
    <n v="6.868936170212768"/>
    <n v="6.2269503546099294"/>
  </r>
  <r>
    <n v="273"/>
    <n v="19"/>
    <x v="0"/>
    <x v="0"/>
    <x v="8"/>
    <n v="3.2"/>
    <x v="7"/>
    <x v="1"/>
    <n v="8.4"/>
    <n v="8"/>
    <s v="Single"/>
    <n v="3"/>
    <x v="0"/>
    <x v="1"/>
    <x v="1"/>
    <s v="Healthy"/>
    <n v="0"/>
    <s v="Good"/>
    <n v="0.5787234042553191"/>
    <n v="0.64255319148936174"/>
    <n v="6.868936170212768"/>
    <n v="6.2269503546099294"/>
  </r>
  <r>
    <n v="274"/>
    <n v="21"/>
    <x v="1"/>
    <x v="1"/>
    <x v="12"/>
    <n v="5.4"/>
    <x v="0"/>
    <x v="0"/>
    <n v="6.7"/>
    <n v="5"/>
    <s v="Single"/>
    <n v="7"/>
    <x v="0"/>
    <x v="0"/>
    <x v="0"/>
    <s v="Average"/>
    <n v="1"/>
    <s v="Average"/>
    <n v="0.5787234042553191"/>
    <n v="0.64255319148936174"/>
    <n v="6.868936170212768"/>
    <n v="6.2269503546099294"/>
  </r>
  <r>
    <n v="275"/>
    <n v="20"/>
    <x v="0"/>
    <x v="0"/>
    <x v="9"/>
    <n v="4.7"/>
    <x v="8"/>
    <x v="0"/>
    <n v="7.1"/>
    <n v="6"/>
    <s v="In Relationship"/>
    <n v="6"/>
    <x v="0"/>
    <x v="0"/>
    <x v="2"/>
    <s v="Healthy"/>
    <n v="1"/>
    <s v="Average"/>
    <n v="0.5787234042553191"/>
    <n v="0.64255319148936174"/>
    <n v="6.868936170212768"/>
    <n v="6.2269503546099294"/>
  </r>
  <r>
    <n v="276"/>
    <n v="22"/>
    <x v="1"/>
    <x v="1"/>
    <x v="14"/>
    <n v="4.2"/>
    <x v="9"/>
    <x v="1"/>
    <n v="7.8"/>
    <n v="7"/>
    <s v="Single"/>
    <n v="5"/>
    <x v="1"/>
    <x v="0"/>
    <x v="2"/>
    <s v="Healthy"/>
    <n v="0"/>
    <s v="Good"/>
    <n v="0.5787234042553191"/>
    <n v="0.64255319148936174"/>
    <n v="6.868936170212768"/>
    <n v="6.2269503546099294"/>
  </r>
  <r>
    <n v="277"/>
    <n v="19"/>
    <x v="0"/>
    <x v="0"/>
    <x v="2"/>
    <n v="6.6"/>
    <x v="2"/>
    <x v="0"/>
    <n v="5.5"/>
    <n v="4"/>
    <s v="In Relationship"/>
    <n v="9"/>
    <x v="0"/>
    <x v="2"/>
    <x v="0"/>
    <s v="Poor"/>
    <n v="1"/>
    <s v="Poor"/>
    <n v="0.5787234042553191"/>
    <n v="0.64255319148936174"/>
    <n v="6.868936170212768"/>
    <n v="6.2269503546099294"/>
  </r>
  <r>
    <n v="278"/>
    <n v="21"/>
    <x v="1"/>
    <x v="1"/>
    <x v="3"/>
    <n v="5.0999999999999996"/>
    <x v="0"/>
    <x v="0"/>
    <n v="6.5"/>
    <n v="6"/>
    <s v="Single"/>
    <n v="7"/>
    <x v="0"/>
    <x v="0"/>
    <x v="0"/>
    <s v="Average"/>
    <n v="1"/>
    <s v="Average"/>
    <n v="0.5787234042553191"/>
    <n v="0.64255319148936174"/>
    <n v="6.868936170212768"/>
    <n v="6.2269503546099294"/>
  </r>
  <r>
    <n v="279"/>
    <n v="20"/>
    <x v="0"/>
    <x v="0"/>
    <x v="5"/>
    <n v="4.4000000000000004"/>
    <x v="4"/>
    <x v="1"/>
    <n v="7.4"/>
    <n v="7"/>
    <s v="In Relationship"/>
    <n v="5"/>
    <x v="0"/>
    <x v="0"/>
    <x v="2"/>
    <s v="Healthy"/>
    <n v="0"/>
    <s v="Good"/>
    <n v="0.5787234042553191"/>
    <n v="0.64255319148936174"/>
    <n v="6.868936170212768"/>
    <n v="6.2269503546099294"/>
  </r>
  <r>
    <n v="280"/>
    <n v="22"/>
    <x v="1"/>
    <x v="1"/>
    <x v="6"/>
    <n v="3.6"/>
    <x v="0"/>
    <x v="1"/>
    <n v="7.9"/>
    <n v="8"/>
    <s v="Single"/>
    <n v="4"/>
    <x v="1"/>
    <x v="1"/>
    <x v="2"/>
    <s v="Healthy"/>
    <n v="0"/>
    <s v="Good"/>
    <n v="0.5787234042553191"/>
    <n v="0.64255319148936174"/>
    <n v="6.868936170212768"/>
    <n v="6.2269503546099294"/>
  </r>
  <r>
    <n v="281"/>
    <n v="19"/>
    <x v="0"/>
    <x v="0"/>
    <x v="8"/>
    <n v="3.1"/>
    <x v="7"/>
    <x v="1"/>
    <n v="8.5"/>
    <n v="8"/>
    <s v="Single"/>
    <n v="3"/>
    <x v="0"/>
    <x v="1"/>
    <x v="1"/>
    <s v="Healthy"/>
    <n v="0"/>
    <s v="Good"/>
    <n v="0.5787234042553191"/>
    <n v="0.64255319148936174"/>
    <n v="6.868936170212768"/>
    <n v="6.2269503546099294"/>
  </r>
  <r>
    <n v="282"/>
    <n v="21"/>
    <x v="1"/>
    <x v="1"/>
    <x v="12"/>
    <n v="5.3"/>
    <x v="2"/>
    <x v="0"/>
    <n v="6.8"/>
    <n v="5"/>
    <s v="In Relationship"/>
    <n v="8"/>
    <x v="0"/>
    <x v="0"/>
    <x v="0"/>
    <s v="Average"/>
    <n v="1"/>
    <s v="Average"/>
    <n v="0.5787234042553191"/>
    <n v="0.64255319148936174"/>
    <n v="6.868936170212768"/>
    <n v="6.2269503546099294"/>
  </r>
  <r>
    <n v="283"/>
    <n v="20"/>
    <x v="0"/>
    <x v="0"/>
    <x v="9"/>
    <n v="4.5999999999999996"/>
    <x v="8"/>
    <x v="0"/>
    <n v="7.2"/>
    <n v="6"/>
    <s v="Single"/>
    <n v="6"/>
    <x v="0"/>
    <x v="0"/>
    <x v="2"/>
    <s v="Healthy"/>
    <n v="1"/>
    <s v="Average"/>
    <n v="0.5787234042553191"/>
    <n v="0.64255319148936174"/>
    <n v="6.868936170212768"/>
    <n v="6.2269503546099294"/>
  </r>
  <r>
    <n v="284"/>
    <n v="22"/>
    <x v="1"/>
    <x v="1"/>
    <x v="14"/>
    <n v="4.0999999999999996"/>
    <x v="9"/>
    <x v="1"/>
    <n v="7.9"/>
    <n v="7"/>
    <s v="In Relationship"/>
    <n v="5"/>
    <x v="1"/>
    <x v="0"/>
    <x v="2"/>
    <s v="Healthy"/>
    <n v="0"/>
    <s v="Good"/>
    <n v="0.5787234042553191"/>
    <n v="0.64255319148936174"/>
    <n v="6.868936170212768"/>
    <n v="6.2269503546099294"/>
  </r>
  <r>
    <n v="285"/>
    <n v="19"/>
    <x v="0"/>
    <x v="0"/>
    <x v="2"/>
    <n v="6.7"/>
    <x v="0"/>
    <x v="0"/>
    <n v="5.4"/>
    <n v="4"/>
    <s v="Single"/>
    <n v="9"/>
    <x v="0"/>
    <x v="2"/>
    <x v="0"/>
    <s v="Poor"/>
    <n v="1"/>
    <s v="Poor"/>
    <n v="0.5787234042553191"/>
    <n v="0.64255319148936174"/>
    <n v="6.868936170212768"/>
    <n v="6.2269503546099294"/>
  </r>
  <r>
    <n v="286"/>
    <n v="21"/>
    <x v="1"/>
    <x v="1"/>
    <x v="3"/>
    <n v="5"/>
    <x v="4"/>
    <x v="0"/>
    <n v="6.6"/>
    <n v="6"/>
    <s v="In Relationship"/>
    <n v="7"/>
    <x v="0"/>
    <x v="0"/>
    <x v="0"/>
    <s v="Average"/>
    <n v="1"/>
    <s v="Average"/>
    <n v="0.5787234042553191"/>
    <n v="0.64255319148936174"/>
    <n v="6.868936170212768"/>
    <n v="6.2269503546099294"/>
  </r>
  <r>
    <n v="287"/>
    <n v="20"/>
    <x v="0"/>
    <x v="0"/>
    <x v="5"/>
    <n v="4.3"/>
    <x v="0"/>
    <x v="1"/>
    <n v="7.5"/>
    <n v="7"/>
    <s v="Single"/>
    <n v="5"/>
    <x v="0"/>
    <x v="0"/>
    <x v="2"/>
    <s v="Healthy"/>
    <n v="0"/>
    <s v="Good"/>
    <n v="0.5787234042553191"/>
    <n v="0.64255319148936174"/>
    <n v="6.868936170212768"/>
    <n v="6.2269503546099294"/>
  </r>
  <r>
    <n v="288"/>
    <n v="22"/>
    <x v="1"/>
    <x v="1"/>
    <x v="6"/>
    <n v="3.5"/>
    <x v="4"/>
    <x v="1"/>
    <n v="8"/>
    <n v="8"/>
    <s v="In Relationship"/>
    <n v="4"/>
    <x v="1"/>
    <x v="1"/>
    <x v="2"/>
    <s v="Healthy"/>
    <n v="0"/>
    <s v="Good"/>
    <n v="0.5787234042553191"/>
    <n v="0.64255319148936174"/>
    <n v="6.868936170212768"/>
    <n v="6.2269503546099294"/>
  </r>
  <r>
    <n v="289"/>
    <n v="19"/>
    <x v="0"/>
    <x v="0"/>
    <x v="8"/>
    <n v="3"/>
    <x v="7"/>
    <x v="1"/>
    <n v="8.6"/>
    <n v="8"/>
    <s v="Single"/>
    <n v="3"/>
    <x v="0"/>
    <x v="1"/>
    <x v="1"/>
    <s v="Healthy"/>
    <n v="0"/>
    <s v="Good"/>
    <n v="0.5787234042553191"/>
    <n v="0.64255319148936174"/>
    <n v="6.868936170212768"/>
    <n v="6.2269503546099294"/>
  </r>
  <r>
    <n v="290"/>
    <n v="21"/>
    <x v="1"/>
    <x v="1"/>
    <x v="12"/>
    <n v="5.2"/>
    <x v="0"/>
    <x v="0"/>
    <n v="6.9"/>
    <n v="5"/>
    <s v="Single"/>
    <n v="7"/>
    <x v="0"/>
    <x v="0"/>
    <x v="0"/>
    <s v="Average"/>
    <n v="1"/>
    <s v="Average"/>
    <n v="0.5787234042553191"/>
    <n v="0.64255319148936174"/>
    <n v="6.868936170212768"/>
    <n v="6.2269503546099294"/>
  </r>
  <r>
    <n v="291"/>
    <n v="20"/>
    <x v="0"/>
    <x v="0"/>
    <x v="9"/>
    <n v="4.5"/>
    <x v="8"/>
    <x v="0"/>
    <n v="7.3"/>
    <n v="6"/>
    <s v="In Relationship"/>
    <n v="6"/>
    <x v="0"/>
    <x v="0"/>
    <x v="2"/>
    <s v="Healthy"/>
    <n v="1"/>
    <s v="Average"/>
    <n v="0.5787234042553191"/>
    <n v="0.64255319148936174"/>
    <n v="6.868936170212768"/>
    <n v="6.2269503546099294"/>
  </r>
  <r>
    <n v="292"/>
    <n v="22"/>
    <x v="1"/>
    <x v="1"/>
    <x v="14"/>
    <n v="4"/>
    <x v="9"/>
    <x v="1"/>
    <n v="8"/>
    <n v="7"/>
    <s v="Single"/>
    <n v="5"/>
    <x v="1"/>
    <x v="0"/>
    <x v="2"/>
    <s v="Healthy"/>
    <n v="0"/>
    <s v="Good"/>
    <n v="0.5787234042553191"/>
    <n v="0.64255319148936174"/>
    <n v="6.868936170212768"/>
    <n v="6.2269503546099294"/>
  </r>
  <r>
    <n v="293"/>
    <n v="19"/>
    <x v="0"/>
    <x v="0"/>
    <x v="2"/>
    <n v="6.8"/>
    <x v="2"/>
    <x v="0"/>
    <n v="5.3"/>
    <n v="4"/>
    <s v="In Relationship"/>
    <n v="9"/>
    <x v="0"/>
    <x v="2"/>
    <x v="0"/>
    <s v="Poor"/>
    <n v="1"/>
    <s v="Poor"/>
    <n v="0.5787234042553191"/>
    <n v="0.64255319148936174"/>
    <n v="6.868936170212768"/>
    <n v="6.2269503546099294"/>
  </r>
  <r>
    <n v="294"/>
    <n v="21"/>
    <x v="1"/>
    <x v="1"/>
    <x v="3"/>
    <n v="4.9000000000000004"/>
    <x v="0"/>
    <x v="0"/>
    <n v="6.7"/>
    <n v="6"/>
    <s v="Single"/>
    <n v="7"/>
    <x v="0"/>
    <x v="0"/>
    <x v="0"/>
    <s v="Average"/>
    <n v="1"/>
    <s v="Average"/>
    <n v="0.5787234042553191"/>
    <n v="0.64255319148936174"/>
    <n v="6.868936170212768"/>
    <n v="6.2269503546099294"/>
  </r>
  <r>
    <n v="295"/>
    <n v="20"/>
    <x v="0"/>
    <x v="0"/>
    <x v="5"/>
    <n v="4.2"/>
    <x v="4"/>
    <x v="1"/>
    <n v="7.6"/>
    <n v="7"/>
    <s v="In Relationship"/>
    <n v="5"/>
    <x v="0"/>
    <x v="0"/>
    <x v="2"/>
    <s v="Healthy"/>
    <n v="0"/>
    <s v="Good"/>
    <n v="0.5787234042553191"/>
    <n v="0.64255319148936174"/>
    <n v="6.868936170212768"/>
    <n v="6.2269503546099294"/>
  </r>
  <r>
    <n v="296"/>
    <n v="22"/>
    <x v="1"/>
    <x v="1"/>
    <x v="6"/>
    <n v="3.4"/>
    <x v="0"/>
    <x v="1"/>
    <n v="8.1"/>
    <n v="8"/>
    <s v="Single"/>
    <n v="4"/>
    <x v="1"/>
    <x v="1"/>
    <x v="2"/>
    <s v="Healthy"/>
    <n v="0"/>
    <s v="Good"/>
    <n v="0.5787234042553191"/>
    <n v="0.64255319148936174"/>
    <n v="6.868936170212768"/>
    <n v="6.2269503546099294"/>
  </r>
  <r>
    <n v="297"/>
    <n v="19"/>
    <x v="0"/>
    <x v="0"/>
    <x v="8"/>
    <n v="2.9"/>
    <x v="7"/>
    <x v="1"/>
    <n v="8.6999999999999993"/>
    <n v="8"/>
    <s v="Single"/>
    <n v="3"/>
    <x v="0"/>
    <x v="1"/>
    <x v="1"/>
    <s v="Healthy"/>
    <n v="0"/>
    <s v="Good"/>
    <n v="0.5787234042553191"/>
    <n v="0.64255319148936174"/>
    <n v="6.868936170212768"/>
    <n v="6.2269503546099294"/>
  </r>
  <r>
    <n v="298"/>
    <n v="21"/>
    <x v="1"/>
    <x v="1"/>
    <x v="12"/>
    <n v="5.0999999999999996"/>
    <x v="2"/>
    <x v="0"/>
    <n v="7"/>
    <n v="5"/>
    <s v="In Relationship"/>
    <n v="8"/>
    <x v="0"/>
    <x v="0"/>
    <x v="0"/>
    <s v="Average"/>
    <n v="1"/>
    <s v="Average"/>
    <n v="0.5787234042553191"/>
    <n v="0.64255319148936174"/>
    <n v="6.868936170212768"/>
    <n v="6.2269503546099294"/>
  </r>
  <r>
    <n v="299"/>
    <n v="20"/>
    <x v="0"/>
    <x v="0"/>
    <x v="9"/>
    <n v="4.4000000000000004"/>
    <x v="8"/>
    <x v="0"/>
    <n v="7.4"/>
    <n v="6"/>
    <s v="Single"/>
    <n v="6"/>
    <x v="0"/>
    <x v="0"/>
    <x v="2"/>
    <s v="Healthy"/>
    <n v="1"/>
    <s v="Average"/>
    <n v="0.5787234042553191"/>
    <n v="0.64255319148936174"/>
    <n v="6.868936170212768"/>
    <n v="6.2269503546099294"/>
  </r>
  <r>
    <n v="300"/>
    <n v="22"/>
    <x v="1"/>
    <x v="1"/>
    <x v="14"/>
    <n v="3.9"/>
    <x v="9"/>
    <x v="1"/>
    <n v="8.1"/>
    <n v="7"/>
    <s v="In Relationship"/>
    <n v="5"/>
    <x v="1"/>
    <x v="1"/>
    <x v="2"/>
    <s v="Healthy"/>
    <n v="0"/>
    <s v="Good"/>
    <n v="0.5787234042553191"/>
    <n v="0.64255319148936174"/>
    <n v="6.868936170212768"/>
    <n v="6.2269503546099294"/>
  </r>
  <r>
    <n v="301"/>
    <n v="19"/>
    <x v="0"/>
    <x v="0"/>
    <x v="2"/>
    <n v="6.9"/>
    <x v="0"/>
    <x v="0"/>
    <n v="5.2"/>
    <n v="4"/>
    <s v="Single"/>
    <n v="9"/>
    <x v="0"/>
    <x v="2"/>
    <x v="0"/>
    <s v="Poor"/>
    <n v="1"/>
    <s v="Poor"/>
    <n v="0.5787234042553191"/>
    <n v="0.64255319148936174"/>
    <n v="6.868936170212768"/>
    <n v="6.2269503546099294"/>
  </r>
  <r>
    <n v="302"/>
    <n v="21"/>
    <x v="1"/>
    <x v="1"/>
    <x v="3"/>
    <n v="4.8"/>
    <x v="4"/>
    <x v="0"/>
    <n v="6.8"/>
    <n v="6"/>
    <s v="In Relationship"/>
    <n v="7"/>
    <x v="0"/>
    <x v="0"/>
    <x v="0"/>
    <s v="Average"/>
    <n v="1"/>
    <s v="Average"/>
    <n v="0.5787234042553191"/>
    <n v="0.64255319148936174"/>
    <n v="6.868936170212768"/>
    <n v="6.2269503546099294"/>
  </r>
  <r>
    <n v="303"/>
    <n v="20"/>
    <x v="0"/>
    <x v="0"/>
    <x v="5"/>
    <n v="4.0999999999999996"/>
    <x v="0"/>
    <x v="1"/>
    <n v="7.7"/>
    <n v="7"/>
    <s v="Single"/>
    <n v="5"/>
    <x v="0"/>
    <x v="0"/>
    <x v="2"/>
    <s v="Healthy"/>
    <n v="0"/>
    <s v="Good"/>
    <n v="0.5787234042553191"/>
    <n v="0.64255319148936174"/>
    <n v="6.868936170212768"/>
    <n v="6.2269503546099294"/>
  </r>
  <r>
    <n v="304"/>
    <n v="22"/>
    <x v="1"/>
    <x v="1"/>
    <x v="6"/>
    <n v="3.3"/>
    <x v="4"/>
    <x v="1"/>
    <n v="8.1999999999999993"/>
    <n v="8"/>
    <s v="In Relationship"/>
    <n v="4"/>
    <x v="1"/>
    <x v="1"/>
    <x v="2"/>
    <s v="Healthy"/>
    <n v="0"/>
    <s v="Good"/>
    <n v="0.5787234042553191"/>
    <n v="0.64255319148936174"/>
    <n v="6.868936170212768"/>
    <n v="6.2269503546099294"/>
  </r>
  <r>
    <n v="305"/>
    <n v="19"/>
    <x v="0"/>
    <x v="0"/>
    <x v="8"/>
    <n v="2.8"/>
    <x v="7"/>
    <x v="1"/>
    <n v="8.8000000000000007"/>
    <n v="8"/>
    <s v="Single"/>
    <n v="3"/>
    <x v="0"/>
    <x v="1"/>
    <x v="1"/>
    <s v="Healthy"/>
    <n v="0"/>
    <s v="Good"/>
    <n v="0.5787234042553191"/>
    <n v="0.64255319148936174"/>
    <n v="6.868936170212768"/>
    <n v="6.2269503546099294"/>
  </r>
  <r>
    <n v="306"/>
    <n v="21"/>
    <x v="1"/>
    <x v="1"/>
    <x v="12"/>
    <n v="5"/>
    <x v="0"/>
    <x v="0"/>
    <n v="7.1"/>
    <n v="5"/>
    <s v="Single"/>
    <n v="7"/>
    <x v="0"/>
    <x v="0"/>
    <x v="0"/>
    <s v="Healthy"/>
    <n v="1"/>
    <s v="Average"/>
    <n v="0.5787234042553191"/>
    <n v="0.64255319148936174"/>
    <n v="6.868936170212768"/>
    <n v="6.2269503546099294"/>
  </r>
  <r>
    <n v="307"/>
    <n v="20"/>
    <x v="0"/>
    <x v="0"/>
    <x v="9"/>
    <n v="4.3"/>
    <x v="8"/>
    <x v="0"/>
    <n v="7.5"/>
    <n v="6"/>
    <s v="In Relationship"/>
    <n v="6"/>
    <x v="0"/>
    <x v="0"/>
    <x v="2"/>
    <s v="Healthy"/>
    <n v="1"/>
    <s v="Average"/>
    <n v="0.5787234042553191"/>
    <n v="0.64255319148936174"/>
    <n v="6.868936170212768"/>
    <n v="6.2269503546099294"/>
  </r>
  <r>
    <n v="308"/>
    <n v="22"/>
    <x v="1"/>
    <x v="1"/>
    <x v="14"/>
    <n v="3.8"/>
    <x v="9"/>
    <x v="1"/>
    <n v="8.1999999999999993"/>
    <n v="7"/>
    <s v="Single"/>
    <n v="5"/>
    <x v="1"/>
    <x v="1"/>
    <x v="2"/>
    <s v="Healthy"/>
    <n v="0"/>
    <s v="Good"/>
    <n v="0.5787234042553191"/>
    <n v="0.64255319148936174"/>
    <n v="6.868936170212768"/>
    <n v="6.2269503546099294"/>
  </r>
  <r>
    <n v="309"/>
    <n v="19"/>
    <x v="0"/>
    <x v="0"/>
    <x v="2"/>
    <n v="7"/>
    <x v="2"/>
    <x v="0"/>
    <n v="5.0999999999999996"/>
    <n v="4"/>
    <s v="In Relationship"/>
    <n v="9"/>
    <x v="0"/>
    <x v="2"/>
    <x v="0"/>
    <s v="Poor"/>
    <n v="1"/>
    <s v="Poor"/>
    <n v="0.5787234042553191"/>
    <n v="0.64255319148936174"/>
    <n v="6.868936170212768"/>
    <n v="6.2269503546099294"/>
  </r>
  <r>
    <n v="310"/>
    <n v="21"/>
    <x v="1"/>
    <x v="1"/>
    <x v="3"/>
    <n v="4.7"/>
    <x v="0"/>
    <x v="0"/>
    <n v="6.9"/>
    <n v="6"/>
    <s v="Single"/>
    <n v="7"/>
    <x v="0"/>
    <x v="0"/>
    <x v="0"/>
    <s v="Average"/>
    <n v="1"/>
    <s v="Average"/>
    <n v="0.5787234042553191"/>
    <n v="0.64255319148936174"/>
    <n v="6.868936170212768"/>
    <n v="6.2269503546099294"/>
  </r>
  <r>
    <n v="311"/>
    <n v="20"/>
    <x v="0"/>
    <x v="0"/>
    <x v="5"/>
    <n v="4"/>
    <x v="4"/>
    <x v="1"/>
    <n v="7.8"/>
    <n v="7"/>
    <s v="In Relationship"/>
    <n v="5"/>
    <x v="0"/>
    <x v="0"/>
    <x v="2"/>
    <s v="Healthy"/>
    <n v="0"/>
    <s v="Good"/>
    <n v="0.5787234042553191"/>
    <n v="0.64255319148936174"/>
    <n v="6.868936170212768"/>
    <n v="6.2269503546099294"/>
  </r>
  <r>
    <n v="312"/>
    <n v="22"/>
    <x v="1"/>
    <x v="1"/>
    <x v="6"/>
    <n v="3.2"/>
    <x v="0"/>
    <x v="1"/>
    <n v="8.3000000000000007"/>
    <n v="8"/>
    <s v="Single"/>
    <n v="4"/>
    <x v="1"/>
    <x v="1"/>
    <x v="2"/>
    <s v="Healthy"/>
    <n v="0"/>
    <s v="Good"/>
    <n v="0.5787234042553191"/>
    <n v="0.64255319148936174"/>
    <n v="6.868936170212768"/>
    <n v="6.2269503546099294"/>
  </r>
  <r>
    <n v="313"/>
    <n v="19"/>
    <x v="0"/>
    <x v="0"/>
    <x v="8"/>
    <n v="2.7"/>
    <x v="7"/>
    <x v="1"/>
    <n v="8.9"/>
    <n v="8"/>
    <s v="Single"/>
    <n v="3"/>
    <x v="0"/>
    <x v="1"/>
    <x v="1"/>
    <s v="Healthy"/>
    <n v="0"/>
    <s v="Good"/>
    <n v="0.5787234042553191"/>
    <n v="0.64255319148936174"/>
    <n v="6.868936170212768"/>
    <n v="6.2269503546099294"/>
  </r>
  <r>
    <n v="314"/>
    <n v="21"/>
    <x v="1"/>
    <x v="1"/>
    <x v="12"/>
    <n v="4.9000000000000004"/>
    <x v="2"/>
    <x v="0"/>
    <n v="7.2"/>
    <n v="5"/>
    <s v="In Relationship"/>
    <n v="8"/>
    <x v="0"/>
    <x v="0"/>
    <x v="0"/>
    <s v="Healthy"/>
    <n v="1"/>
    <s v="Average"/>
    <n v="0.5787234042553191"/>
    <n v="0.64255319148936174"/>
    <n v="6.868936170212768"/>
    <n v="6.2269503546099294"/>
  </r>
  <r>
    <n v="315"/>
    <n v="20"/>
    <x v="0"/>
    <x v="0"/>
    <x v="9"/>
    <n v="4.2"/>
    <x v="8"/>
    <x v="0"/>
    <n v="7.6"/>
    <n v="6"/>
    <s v="Single"/>
    <n v="6"/>
    <x v="0"/>
    <x v="0"/>
    <x v="2"/>
    <s v="Healthy"/>
    <n v="1"/>
    <s v="Average"/>
    <n v="0.5787234042553191"/>
    <n v="0.64255319148936174"/>
    <n v="6.868936170212768"/>
    <n v="6.2269503546099294"/>
  </r>
  <r>
    <n v="316"/>
    <n v="22"/>
    <x v="1"/>
    <x v="1"/>
    <x v="14"/>
    <n v="3.7"/>
    <x v="9"/>
    <x v="1"/>
    <n v="8.3000000000000007"/>
    <n v="7"/>
    <s v="In Relationship"/>
    <n v="5"/>
    <x v="1"/>
    <x v="1"/>
    <x v="2"/>
    <s v="Healthy"/>
    <n v="0"/>
    <s v="Good"/>
    <n v="0.5787234042553191"/>
    <n v="0.64255319148936174"/>
    <n v="6.868936170212768"/>
    <n v="6.2269503546099294"/>
  </r>
  <r>
    <n v="317"/>
    <n v="19"/>
    <x v="0"/>
    <x v="0"/>
    <x v="2"/>
    <n v="7.1"/>
    <x v="0"/>
    <x v="0"/>
    <n v="5"/>
    <n v="4"/>
    <s v="Single"/>
    <n v="9"/>
    <x v="0"/>
    <x v="2"/>
    <x v="0"/>
    <s v="Poor"/>
    <n v="1"/>
    <s v="Poor"/>
    <n v="0.5787234042553191"/>
    <n v="0.64255319148936174"/>
    <n v="6.868936170212768"/>
    <n v="6.2269503546099294"/>
  </r>
  <r>
    <n v="318"/>
    <n v="21"/>
    <x v="1"/>
    <x v="1"/>
    <x v="3"/>
    <n v="4.5999999999999996"/>
    <x v="4"/>
    <x v="0"/>
    <n v="7"/>
    <n v="6"/>
    <s v="In Relationship"/>
    <n v="7"/>
    <x v="0"/>
    <x v="0"/>
    <x v="0"/>
    <s v="Average"/>
    <n v="1"/>
    <s v="Average"/>
    <n v="0.5787234042553191"/>
    <n v="0.64255319148936174"/>
    <n v="6.868936170212768"/>
    <n v="6.2269503546099294"/>
  </r>
  <r>
    <n v="319"/>
    <n v="20"/>
    <x v="0"/>
    <x v="0"/>
    <x v="5"/>
    <n v="3.9"/>
    <x v="0"/>
    <x v="1"/>
    <n v="7.9"/>
    <n v="7"/>
    <s v="Single"/>
    <n v="5"/>
    <x v="0"/>
    <x v="1"/>
    <x v="2"/>
    <s v="Healthy"/>
    <n v="0"/>
    <s v="Good"/>
    <n v="0.5787234042553191"/>
    <n v="0.64255319148936174"/>
    <n v="6.868936170212768"/>
    <n v="6.2269503546099294"/>
  </r>
  <r>
    <n v="320"/>
    <n v="22"/>
    <x v="1"/>
    <x v="1"/>
    <x v="6"/>
    <n v="3.1"/>
    <x v="4"/>
    <x v="1"/>
    <n v="8.4"/>
    <n v="8"/>
    <s v="In Relationship"/>
    <n v="4"/>
    <x v="1"/>
    <x v="1"/>
    <x v="2"/>
    <s v="Healthy"/>
    <n v="0"/>
    <s v="Good"/>
    <n v="0.5787234042553191"/>
    <n v="0.64255319148936174"/>
    <n v="6.868936170212768"/>
    <n v="6.2269503546099294"/>
  </r>
  <r>
    <n v="321"/>
    <n v="19"/>
    <x v="0"/>
    <x v="0"/>
    <x v="11"/>
    <n v="5.2"/>
    <x v="0"/>
    <x v="0"/>
    <n v="6.8"/>
    <n v="6"/>
    <s v="Single"/>
    <n v="7"/>
    <x v="0"/>
    <x v="0"/>
    <x v="0"/>
    <s v="Average"/>
    <n v="1"/>
    <s v="Average"/>
    <n v="0.5787234042553191"/>
    <n v="0.64255319148936174"/>
    <n v="6.868936170212768"/>
    <n v="6.2269503546099294"/>
  </r>
  <r>
    <n v="322"/>
    <n v="21"/>
    <x v="1"/>
    <x v="1"/>
    <x v="18"/>
    <n v="4.0999999999999996"/>
    <x v="4"/>
    <x v="1"/>
    <n v="7.8"/>
    <n v="8"/>
    <s v="In Relationship"/>
    <n v="4"/>
    <x v="0"/>
    <x v="0"/>
    <x v="2"/>
    <s v="Healthy"/>
    <n v="0"/>
    <s v="Good"/>
    <n v="0.5787234042553191"/>
    <n v="0.64255319148936174"/>
    <n v="6.868936170212768"/>
    <n v="6.2269503546099294"/>
  </r>
  <r>
    <n v="323"/>
    <n v="20"/>
    <x v="0"/>
    <x v="0"/>
    <x v="25"/>
    <n v="5"/>
    <x v="0"/>
    <x v="0"/>
    <n v="7"/>
    <n v="7"/>
    <s v="Single"/>
    <n v="6"/>
    <x v="0"/>
    <x v="0"/>
    <x v="2"/>
    <s v="Average"/>
    <n v="1"/>
    <s v="Good"/>
    <n v="0.5787234042553191"/>
    <n v="0.64255319148936174"/>
    <n v="6.868936170212768"/>
    <n v="6.2269503546099294"/>
  </r>
  <r>
    <n v="324"/>
    <n v="22"/>
    <x v="1"/>
    <x v="1"/>
    <x v="1"/>
    <n v="5.8"/>
    <x v="10"/>
    <x v="0"/>
    <n v="6.5"/>
    <n v="5"/>
    <s v="In Relationship"/>
    <n v="8"/>
    <x v="1"/>
    <x v="0"/>
    <x v="0"/>
    <s v="Average"/>
    <n v="1"/>
    <s v="Average"/>
    <n v="0.5787234042553191"/>
    <n v="0.64255319148936174"/>
    <n v="6.868936170212768"/>
    <n v="6.2269503546099294"/>
  </r>
  <r>
    <n v="325"/>
    <n v="19"/>
    <x v="0"/>
    <x v="0"/>
    <x v="21"/>
    <n v="4"/>
    <x v="0"/>
    <x v="1"/>
    <n v="7.9"/>
    <n v="8"/>
    <s v="Single"/>
    <n v="4"/>
    <x v="0"/>
    <x v="0"/>
    <x v="2"/>
    <s v="Healthy"/>
    <n v="0"/>
    <s v="Good"/>
    <n v="0.5787234042553191"/>
    <n v="0.64255319148936174"/>
    <n v="6.868936170212768"/>
    <n v="6.2269503546099294"/>
  </r>
  <r>
    <n v="326"/>
    <n v="21"/>
    <x v="1"/>
    <x v="1"/>
    <x v="35"/>
    <n v="5.5"/>
    <x v="0"/>
    <x v="0"/>
    <n v="6.7"/>
    <n v="6"/>
    <s v="Single"/>
    <n v="7"/>
    <x v="0"/>
    <x v="0"/>
    <x v="0"/>
    <s v="Average"/>
    <n v="1"/>
    <s v="Average"/>
    <n v="0.5787234042553191"/>
    <n v="0.64255319148936174"/>
    <n v="6.868936170212768"/>
    <n v="6.2269503546099294"/>
  </r>
  <r>
    <n v="327"/>
    <n v="20"/>
    <x v="0"/>
    <x v="0"/>
    <x v="2"/>
    <n v="6.8"/>
    <x v="2"/>
    <x v="0"/>
    <n v="5.5"/>
    <n v="5"/>
    <s v="In Relationship"/>
    <n v="9"/>
    <x v="0"/>
    <x v="2"/>
    <x v="0"/>
    <s v="Poor"/>
    <n v="1"/>
    <s v="Average"/>
    <n v="0.5787234042553191"/>
    <n v="0.64255319148936174"/>
    <n v="6.868936170212768"/>
    <n v="6.2269503546099294"/>
  </r>
  <r>
    <n v="328"/>
    <n v="22"/>
    <x v="1"/>
    <x v="1"/>
    <x v="13"/>
    <n v="5.6"/>
    <x v="10"/>
    <x v="0"/>
    <n v="6.6"/>
    <n v="6"/>
    <s v="Single"/>
    <n v="7"/>
    <x v="1"/>
    <x v="0"/>
    <x v="0"/>
    <s v="Average"/>
    <n v="1"/>
    <s v="Average"/>
    <n v="0.5787234042553191"/>
    <n v="0.64255319148936174"/>
    <n v="6.868936170212768"/>
    <n v="6.2269503546099294"/>
  </r>
  <r>
    <n v="329"/>
    <n v="19"/>
    <x v="0"/>
    <x v="0"/>
    <x v="10"/>
    <n v="4.5"/>
    <x v="0"/>
    <x v="1"/>
    <n v="7.5"/>
    <n v="7"/>
    <s v="In Relationship"/>
    <n v="5"/>
    <x v="0"/>
    <x v="0"/>
    <x v="2"/>
    <s v="Healthy"/>
    <n v="0"/>
    <s v="Good"/>
    <n v="0.5787234042553191"/>
    <n v="0.64255319148936174"/>
    <n v="6.868936170212768"/>
    <n v="6.2269503546099294"/>
  </r>
  <r>
    <n v="330"/>
    <n v="21"/>
    <x v="1"/>
    <x v="1"/>
    <x v="4"/>
    <n v="5.3"/>
    <x v="0"/>
    <x v="0"/>
    <n v="6.9"/>
    <n v="6"/>
    <s v="Single"/>
    <n v="7"/>
    <x v="0"/>
    <x v="0"/>
    <x v="0"/>
    <s v="Average"/>
    <n v="1"/>
    <s v="Average"/>
    <n v="0.5787234042553191"/>
    <n v="0.64255319148936174"/>
    <n v="6.868936170212768"/>
    <n v="6.2269503546099294"/>
  </r>
  <r>
    <n v="331"/>
    <n v="20"/>
    <x v="0"/>
    <x v="0"/>
    <x v="11"/>
    <n v="5.0999999999999996"/>
    <x v="2"/>
    <x v="0"/>
    <n v="6.7"/>
    <n v="6"/>
    <s v="Single"/>
    <n v="7"/>
    <x v="0"/>
    <x v="0"/>
    <x v="0"/>
    <s v="Average"/>
    <n v="1"/>
    <s v="Average"/>
    <n v="0.5787234042553191"/>
    <n v="0.64255319148936174"/>
    <n v="6.868936170212768"/>
    <n v="6.2269503546099294"/>
  </r>
  <r>
    <n v="332"/>
    <n v="22"/>
    <x v="1"/>
    <x v="1"/>
    <x v="18"/>
    <n v="3.9"/>
    <x v="4"/>
    <x v="1"/>
    <n v="7.9"/>
    <n v="8"/>
    <s v="In Relationship"/>
    <n v="4"/>
    <x v="1"/>
    <x v="1"/>
    <x v="2"/>
    <s v="Healthy"/>
    <n v="0"/>
    <s v="Good"/>
    <n v="0.5787234042553191"/>
    <n v="0.64255319148936174"/>
    <n v="6.868936170212768"/>
    <n v="6.2269503546099294"/>
  </r>
  <r>
    <n v="333"/>
    <n v="19"/>
    <x v="0"/>
    <x v="0"/>
    <x v="25"/>
    <n v="4.8"/>
    <x v="0"/>
    <x v="0"/>
    <n v="7.1"/>
    <n v="7"/>
    <s v="Single"/>
    <n v="6"/>
    <x v="0"/>
    <x v="0"/>
    <x v="2"/>
    <s v="Healthy"/>
    <n v="1"/>
    <s v="Good"/>
    <n v="0.5787234042553191"/>
    <n v="0.64255319148936174"/>
    <n v="6.868936170212768"/>
    <n v="6.2269503546099294"/>
  </r>
  <r>
    <n v="334"/>
    <n v="21"/>
    <x v="1"/>
    <x v="1"/>
    <x v="1"/>
    <n v="5.9"/>
    <x v="10"/>
    <x v="0"/>
    <n v="6.4"/>
    <n v="5"/>
    <s v="In Relationship"/>
    <n v="8"/>
    <x v="0"/>
    <x v="0"/>
    <x v="0"/>
    <s v="Average"/>
    <n v="1"/>
    <s v="Average"/>
    <n v="0.5787234042553191"/>
    <n v="0.64255319148936174"/>
    <n v="6.868936170212768"/>
    <n v="6.2269503546099294"/>
  </r>
  <r>
    <n v="335"/>
    <n v="20"/>
    <x v="0"/>
    <x v="0"/>
    <x v="21"/>
    <n v="3.8"/>
    <x v="0"/>
    <x v="1"/>
    <n v="8"/>
    <n v="8"/>
    <s v="Single"/>
    <n v="4"/>
    <x v="0"/>
    <x v="1"/>
    <x v="2"/>
    <s v="Healthy"/>
    <n v="0"/>
    <s v="Good"/>
    <n v="0.5787234042553191"/>
    <n v="0.64255319148936174"/>
    <n v="6.868936170212768"/>
    <n v="6.2269503546099294"/>
  </r>
  <r>
    <n v="336"/>
    <n v="22"/>
    <x v="1"/>
    <x v="1"/>
    <x v="35"/>
    <n v="5.4"/>
    <x v="2"/>
    <x v="0"/>
    <n v="6.8"/>
    <n v="6"/>
    <s v="Single"/>
    <n v="7"/>
    <x v="1"/>
    <x v="0"/>
    <x v="0"/>
    <s v="Average"/>
    <n v="1"/>
    <s v="Average"/>
    <n v="0.5787234042553191"/>
    <n v="0.64255319148936174"/>
    <n v="6.868936170212768"/>
    <n v="6.2269503546099294"/>
  </r>
  <r>
    <n v="337"/>
    <n v="19"/>
    <x v="0"/>
    <x v="0"/>
    <x v="2"/>
    <n v="6.9"/>
    <x v="0"/>
    <x v="0"/>
    <n v="5.4"/>
    <n v="5"/>
    <s v="In Relationship"/>
    <n v="9"/>
    <x v="0"/>
    <x v="2"/>
    <x v="0"/>
    <s v="Poor"/>
    <n v="1"/>
    <s v="Average"/>
    <n v="0.5787234042553191"/>
    <n v="0.64255319148936174"/>
    <n v="6.868936170212768"/>
    <n v="6.2269503546099294"/>
  </r>
  <r>
    <n v="338"/>
    <n v="21"/>
    <x v="1"/>
    <x v="1"/>
    <x v="13"/>
    <n v="5.7"/>
    <x v="10"/>
    <x v="0"/>
    <n v="6.5"/>
    <n v="6"/>
    <s v="Single"/>
    <n v="7"/>
    <x v="0"/>
    <x v="0"/>
    <x v="0"/>
    <s v="Average"/>
    <n v="1"/>
    <s v="Average"/>
    <n v="0.5787234042553191"/>
    <n v="0.64255319148936174"/>
    <n v="6.868936170212768"/>
    <n v="6.2269503546099294"/>
  </r>
  <r>
    <n v="339"/>
    <n v="20"/>
    <x v="0"/>
    <x v="0"/>
    <x v="10"/>
    <n v="4.4000000000000004"/>
    <x v="0"/>
    <x v="1"/>
    <n v="7.6"/>
    <n v="7"/>
    <s v="In Relationship"/>
    <n v="5"/>
    <x v="0"/>
    <x v="0"/>
    <x v="2"/>
    <s v="Healthy"/>
    <n v="0"/>
    <s v="Good"/>
    <n v="0.5787234042553191"/>
    <n v="0.64255319148936174"/>
    <n v="6.868936170212768"/>
    <n v="6.2269503546099294"/>
  </r>
  <r>
    <n v="340"/>
    <n v="22"/>
    <x v="1"/>
    <x v="1"/>
    <x v="4"/>
    <n v="5.2"/>
    <x v="2"/>
    <x v="0"/>
    <n v="7"/>
    <n v="6"/>
    <s v="Single"/>
    <n v="7"/>
    <x v="1"/>
    <x v="0"/>
    <x v="0"/>
    <s v="Average"/>
    <n v="1"/>
    <s v="Average"/>
    <n v="0.5787234042553191"/>
    <n v="0.64255319148936174"/>
    <n v="6.868936170212768"/>
    <n v="6.2269503546099294"/>
  </r>
  <r>
    <n v="341"/>
    <n v="19"/>
    <x v="0"/>
    <x v="0"/>
    <x v="11"/>
    <n v="5"/>
    <x v="0"/>
    <x v="0"/>
    <n v="6.9"/>
    <n v="6"/>
    <s v="Single"/>
    <n v="7"/>
    <x v="0"/>
    <x v="0"/>
    <x v="0"/>
    <s v="Average"/>
    <n v="1"/>
    <s v="Average"/>
    <n v="0.5787234042553191"/>
    <n v="0.64255319148936174"/>
    <n v="6.868936170212768"/>
    <n v="6.2269503546099294"/>
  </r>
  <r>
    <n v="342"/>
    <n v="21"/>
    <x v="1"/>
    <x v="1"/>
    <x v="18"/>
    <n v="3.8"/>
    <x v="4"/>
    <x v="1"/>
    <n v="8"/>
    <n v="8"/>
    <s v="In Relationship"/>
    <n v="4"/>
    <x v="0"/>
    <x v="1"/>
    <x v="2"/>
    <s v="Healthy"/>
    <n v="0"/>
    <s v="Good"/>
    <n v="0.5787234042553191"/>
    <n v="0.64255319148936174"/>
    <n v="6.868936170212768"/>
    <n v="6.2269503546099294"/>
  </r>
  <r>
    <n v="343"/>
    <n v="20"/>
    <x v="0"/>
    <x v="0"/>
    <x v="25"/>
    <n v="4.7"/>
    <x v="2"/>
    <x v="0"/>
    <n v="7.2"/>
    <n v="7"/>
    <s v="Single"/>
    <n v="6"/>
    <x v="0"/>
    <x v="0"/>
    <x v="2"/>
    <s v="Healthy"/>
    <n v="1"/>
    <s v="Good"/>
    <n v="0.5787234042553191"/>
    <n v="0.64255319148936174"/>
    <n v="6.868936170212768"/>
    <n v="6.2269503546099294"/>
  </r>
  <r>
    <n v="344"/>
    <n v="22"/>
    <x v="1"/>
    <x v="1"/>
    <x v="1"/>
    <n v="6"/>
    <x v="10"/>
    <x v="0"/>
    <n v="6.3"/>
    <n v="5"/>
    <s v="In Relationship"/>
    <n v="8"/>
    <x v="1"/>
    <x v="2"/>
    <x v="0"/>
    <s v="Average"/>
    <n v="1"/>
    <s v="Average"/>
    <n v="0.5787234042553191"/>
    <n v="0.64255319148936174"/>
    <n v="6.868936170212768"/>
    <n v="6.2269503546099294"/>
  </r>
  <r>
    <n v="345"/>
    <n v="19"/>
    <x v="0"/>
    <x v="0"/>
    <x v="21"/>
    <n v="3.7"/>
    <x v="0"/>
    <x v="1"/>
    <n v="8.1"/>
    <n v="8"/>
    <s v="Single"/>
    <n v="4"/>
    <x v="0"/>
    <x v="1"/>
    <x v="2"/>
    <s v="Healthy"/>
    <n v="0"/>
    <s v="Good"/>
    <n v="0.5787234042553191"/>
    <n v="0.64255319148936174"/>
    <n v="6.868936170212768"/>
    <n v="6.2269503546099294"/>
  </r>
  <r>
    <n v="346"/>
    <n v="21"/>
    <x v="1"/>
    <x v="1"/>
    <x v="35"/>
    <n v="5.3"/>
    <x v="0"/>
    <x v="0"/>
    <n v="6.9"/>
    <n v="6"/>
    <s v="Single"/>
    <n v="7"/>
    <x v="0"/>
    <x v="0"/>
    <x v="0"/>
    <s v="Average"/>
    <n v="1"/>
    <s v="Average"/>
    <n v="0.5787234042553191"/>
    <n v="0.64255319148936174"/>
    <n v="6.868936170212768"/>
    <n v="6.2269503546099294"/>
  </r>
  <r>
    <n v="347"/>
    <n v="20"/>
    <x v="0"/>
    <x v="0"/>
    <x v="2"/>
    <n v="7"/>
    <x v="2"/>
    <x v="0"/>
    <n v="5.3"/>
    <n v="5"/>
    <s v="In Relationship"/>
    <n v="9"/>
    <x v="0"/>
    <x v="2"/>
    <x v="0"/>
    <s v="Poor"/>
    <n v="1"/>
    <s v="Average"/>
    <n v="0.5787234042553191"/>
    <n v="0.64255319148936174"/>
    <n v="6.868936170212768"/>
    <n v="6.2269503546099294"/>
  </r>
  <r>
    <n v="348"/>
    <n v="22"/>
    <x v="1"/>
    <x v="1"/>
    <x v="13"/>
    <n v="5.8"/>
    <x v="10"/>
    <x v="0"/>
    <n v="6.4"/>
    <n v="6"/>
    <s v="Single"/>
    <n v="7"/>
    <x v="1"/>
    <x v="0"/>
    <x v="0"/>
    <s v="Average"/>
    <n v="1"/>
    <s v="Average"/>
    <n v="0.5787234042553191"/>
    <n v="0.64255319148936174"/>
    <n v="6.868936170212768"/>
    <n v="6.2269503546099294"/>
  </r>
  <r>
    <n v="349"/>
    <n v="19"/>
    <x v="0"/>
    <x v="0"/>
    <x v="10"/>
    <n v="4.3"/>
    <x v="0"/>
    <x v="1"/>
    <n v="7.7"/>
    <n v="7"/>
    <s v="In Relationship"/>
    <n v="5"/>
    <x v="0"/>
    <x v="0"/>
    <x v="2"/>
    <s v="Healthy"/>
    <n v="0"/>
    <s v="Good"/>
    <n v="0.5787234042553191"/>
    <n v="0.64255319148936174"/>
    <n v="6.868936170212768"/>
    <n v="6.2269503546099294"/>
  </r>
  <r>
    <n v="350"/>
    <n v="21"/>
    <x v="1"/>
    <x v="1"/>
    <x v="4"/>
    <n v="5.0999999999999996"/>
    <x v="0"/>
    <x v="0"/>
    <n v="7.1"/>
    <n v="6"/>
    <s v="Single"/>
    <n v="7"/>
    <x v="0"/>
    <x v="0"/>
    <x v="0"/>
    <s v="Healthy"/>
    <n v="1"/>
    <s v="Average"/>
    <n v="0.5787234042553191"/>
    <n v="0.64255319148936174"/>
    <n v="6.868936170212768"/>
    <n v="6.2269503546099294"/>
  </r>
  <r>
    <n v="351"/>
    <n v="20"/>
    <x v="0"/>
    <x v="0"/>
    <x v="11"/>
    <n v="4.9000000000000004"/>
    <x v="2"/>
    <x v="0"/>
    <n v="7"/>
    <n v="6"/>
    <s v="Single"/>
    <n v="7"/>
    <x v="0"/>
    <x v="0"/>
    <x v="0"/>
    <s v="Average"/>
    <n v="1"/>
    <s v="Average"/>
    <n v="0.5787234042553191"/>
    <n v="0.64255319148936174"/>
    <n v="6.868936170212768"/>
    <n v="6.2269503546099294"/>
  </r>
  <r>
    <n v="352"/>
    <n v="22"/>
    <x v="1"/>
    <x v="1"/>
    <x v="18"/>
    <n v="3.7"/>
    <x v="4"/>
    <x v="1"/>
    <n v="8.1"/>
    <n v="8"/>
    <s v="In Relationship"/>
    <n v="4"/>
    <x v="1"/>
    <x v="1"/>
    <x v="2"/>
    <s v="Healthy"/>
    <n v="0"/>
    <s v="Good"/>
    <n v="0.5787234042553191"/>
    <n v="0.64255319148936174"/>
    <n v="6.868936170212768"/>
    <n v="6.2269503546099294"/>
  </r>
  <r>
    <n v="353"/>
    <n v="19"/>
    <x v="0"/>
    <x v="0"/>
    <x v="25"/>
    <n v="4.5999999999999996"/>
    <x v="0"/>
    <x v="0"/>
    <n v="7.3"/>
    <n v="7"/>
    <s v="Single"/>
    <n v="6"/>
    <x v="0"/>
    <x v="0"/>
    <x v="2"/>
    <s v="Healthy"/>
    <n v="1"/>
    <s v="Good"/>
    <n v="0.5787234042553191"/>
    <n v="0.64255319148936174"/>
    <n v="6.868936170212768"/>
    <n v="6.2269503546099294"/>
  </r>
  <r>
    <n v="354"/>
    <n v="21"/>
    <x v="1"/>
    <x v="1"/>
    <x v="1"/>
    <n v="6.1"/>
    <x v="10"/>
    <x v="0"/>
    <n v="6.2"/>
    <n v="5"/>
    <s v="In Relationship"/>
    <n v="8"/>
    <x v="0"/>
    <x v="2"/>
    <x v="0"/>
    <s v="Average"/>
    <n v="1"/>
    <s v="Average"/>
    <n v="0.5787234042553191"/>
    <n v="0.64255319148936174"/>
    <n v="6.868936170212768"/>
    <n v="6.2269503546099294"/>
  </r>
  <r>
    <n v="355"/>
    <n v="20"/>
    <x v="0"/>
    <x v="0"/>
    <x v="21"/>
    <n v="3.6"/>
    <x v="0"/>
    <x v="1"/>
    <n v="8.1999999999999993"/>
    <n v="8"/>
    <s v="Single"/>
    <n v="4"/>
    <x v="0"/>
    <x v="1"/>
    <x v="2"/>
    <s v="Healthy"/>
    <n v="0"/>
    <s v="Good"/>
    <n v="0.5787234042553191"/>
    <n v="0.64255319148936174"/>
    <n v="6.868936170212768"/>
    <n v="6.2269503546099294"/>
  </r>
  <r>
    <n v="356"/>
    <n v="22"/>
    <x v="1"/>
    <x v="1"/>
    <x v="35"/>
    <n v="5.2"/>
    <x v="2"/>
    <x v="0"/>
    <n v="7"/>
    <n v="6"/>
    <s v="Single"/>
    <n v="7"/>
    <x v="1"/>
    <x v="0"/>
    <x v="0"/>
    <s v="Average"/>
    <n v="1"/>
    <s v="Average"/>
    <n v="0.5787234042553191"/>
    <n v="0.64255319148936174"/>
    <n v="6.868936170212768"/>
    <n v="6.2269503546099294"/>
  </r>
  <r>
    <n v="357"/>
    <n v="19"/>
    <x v="0"/>
    <x v="0"/>
    <x v="2"/>
    <n v="7.1"/>
    <x v="0"/>
    <x v="0"/>
    <n v="5.2"/>
    <n v="5"/>
    <s v="In Relationship"/>
    <n v="9"/>
    <x v="0"/>
    <x v="2"/>
    <x v="0"/>
    <s v="Poor"/>
    <n v="1"/>
    <s v="Average"/>
    <n v="0.5787234042553191"/>
    <n v="0.64255319148936174"/>
    <n v="6.868936170212768"/>
    <n v="6.2269503546099294"/>
  </r>
  <r>
    <n v="358"/>
    <n v="21"/>
    <x v="1"/>
    <x v="1"/>
    <x v="13"/>
    <n v="5.9"/>
    <x v="10"/>
    <x v="0"/>
    <n v="6.3"/>
    <n v="6"/>
    <s v="Single"/>
    <n v="7"/>
    <x v="0"/>
    <x v="0"/>
    <x v="0"/>
    <s v="Average"/>
    <n v="1"/>
    <s v="Average"/>
    <n v="0.5787234042553191"/>
    <n v="0.64255319148936174"/>
    <n v="6.868936170212768"/>
    <n v="6.2269503546099294"/>
  </r>
  <r>
    <n v="359"/>
    <n v="20"/>
    <x v="0"/>
    <x v="0"/>
    <x v="10"/>
    <n v="4.2"/>
    <x v="0"/>
    <x v="1"/>
    <n v="7.8"/>
    <n v="7"/>
    <s v="In Relationship"/>
    <n v="5"/>
    <x v="0"/>
    <x v="0"/>
    <x v="2"/>
    <s v="Healthy"/>
    <n v="0"/>
    <s v="Good"/>
    <n v="0.5787234042553191"/>
    <n v="0.64255319148936174"/>
    <n v="6.868936170212768"/>
    <n v="6.2269503546099294"/>
  </r>
  <r>
    <n v="360"/>
    <n v="22"/>
    <x v="1"/>
    <x v="1"/>
    <x v="4"/>
    <n v="5"/>
    <x v="2"/>
    <x v="0"/>
    <n v="7.2"/>
    <n v="6"/>
    <s v="Single"/>
    <n v="7"/>
    <x v="1"/>
    <x v="0"/>
    <x v="0"/>
    <s v="Healthy"/>
    <n v="1"/>
    <s v="Average"/>
    <n v="0.5787234042553191"/>
    <n v="0.64255319148936174"/>
    <n v="6.868936170212768"/>
    <n v="6.2269503546099294"/>
  </r>
  <r>
    <n v="361"/>
    <n v="19"/>
    <x v="0"/>
    <x v="0"/>
    <x v="11"/>
    <n v="4.8"/>
    <x v="0"/>
    <x v="0"/>
    <n v="7.1"/>
    <n v="6"/>
    <s v="Single"/>
    <n v="7"/>
    <x v="0"/>
    <x v="0"/>
    <x v="0"/>
    <s v="Healthy"/>
    <n v="1"/>
    <s v="Average"/>
    <n v="0.5787234042553191"/>
    <n v="0.64255319148936174"/>
    <n v="6.868936170212768"/>
    <n v="6.2269503546099294"/>
  </r>
  <r>
    <n v="362"/>
    <n v="21"/>
    <x v="1"/>
    <x v="1"/>
    <x v="18"/>
    <n v="3.6"/>
    <x v="4"/>
    <x v="1"/>
    <n v="8.1999999999999993"/>
    <n v="8"/>
    <s v="In Relationship"/>
    <n v="4"/>
    <x v="0"/>
    <x v="1"/>
    <x v="2"/>
    <s v="Healthy"/>
    <n v="0"/>
    <s v="Good"/>
    <n v="0.5787234042553191"/>
    <n v="0.64255319148936174"/>
    <n v="6.868936170212768"/>
    <n v="6.2269503546099294"/>
  </r>
  <r>
    <n v="363"/>
    <n v="20"/>
    <x v="0"/>
    <x v="0"/>
    <x v="25"/>
    <n v="4.5"/>
    <x v="2"/>
    <x v="0"/>
    <n v="7.4"/>
    <n v="7"/>
    <s v="Single"/>
    <n v="6"/>
    <x v="0"/>
    <x v="0"/>
    <x v="2"/>
    <s v="Healthy"/>
    <n v="1"/>
    <s v="Good"/>
    <n v="0.5787234042553191"/>
    <n v="0.64255319148936174"/>
    <n v="6.868936170212768"/>
    <n v="6.2269503546099294"/>
  </r>
  <r>
    <n v="364"/>
    <n v="22"/>
    <x v="1"/>
    <x v="1"/>
    <x v="1"/>
    <n v="6.2"/>
    <x v="10"/>
    <x v="0"/>
    <n v="6.1"/>
    <n v="5"/>
    <s v="In Relationship"/>
    <n v="8"/>
    <x v="1"/>
    <x v="2"/>
    <x v="0"/>
    <s v="Average"/>
    <n v="1"/>
    <s v="Average"/>
    <n v="0.5787234042553191"/>
    <n v="0.64255319148936174"/>
    <n v="6.868936170212768"/>
    <n v="6.2269503546099294"/>
  </r>
  <r>
    <n v="365"/>
    <n v="19"/>
    <x v="0"/>
    <x v="0"/>
    <x v="21"/>
    <n v="3.5"/>
    <x v="0"/>
    <x v="1"/>
    <n v="8.3000000000000007"/>
    <n v="8"/>
    <s v="Single"/>
    <n v="4"/>
    <x v="0"/>
    <x v="1"/>
    <x v="2"/>
    <s v="Healthy"/>
    <n v="0"/>
    <s v="Good"/>
    <n v="0.5787234042553191"/>
    <n v="0.64255319148936174"/>
    <n v="6.868936170212768"/>
    <n v="6.2269503546099294"/>
  </r>
  <r>
    <n v="366"/>
    <n v="21"/>
    <x v="1"/>
    <x v="1"/>
    <x v="35"/>
    <n v="5.0999999999999996"/>
    <x v="0"/>
    <x v="0"/>
    <n v="7.1"/>
    <n v="6"/>
    <s v="Single"/>
    <n v="7"/>
    <x v="0"/>
    <x v="0"/>
    <x v="0"/>
    <s v="Healthy"/>
    <n v="1"/>
    <s v="Average"/>
    <n v="0.5787234042553191"/>
    <n v="0.64255319148936174"/>
    <n v="6.868936170212768"/>
    <n v="6.2269503546099294"/>
  </r>
  <r>
    <n v="367"/>
    <n v="20"/>
    <x v="0"/>
    <x v="0"/>
    <x v="2"/>
    <n v="7.2"/>
    <x v="2"/>
    <x v="0"/>
    <n v="5.0999999999999996"/>
    <n v="5"/>
    <s v="In Relationship"/>
    <n v="9"/>
    <x v="0"/>
    <x v="2"/>
    <x v="0"/>
    <s v="Poor"/>
    <n v="1"/>
    <s v="Average"/>
    <n v="0.5787234042553191"/>
    <n v="0.64255319148936174"/>
    <n v="6.868936170212768"/>
    <n v="6.2269503546099294"/>
  </r>
  <r>
    <n v="368"/>
    <n v="22"/>
    <x v="1"/>
    <x v="1"/>
    <x v="13"/>
    <n v="6"/>
    <x v="10"/>
    <x v="0"/>
    <n v="6.2"/>
    <n v="6"/>
    <s v="Single"/>
    <n v="7"/>
    <x v="1"/>
    <x v="2"/>
    <x v="0"/>
    <s v="Average"/>
    <n v="1"/>
    <s v="Average"/>
    <n v="0.5787234042553191"/>
    <n v="0.64255319148936174"/>
    <n v="6.868936170212768"/>
    <n v="6.2269503546099294"/>
  </r>
  <r>
    <n v="369"/>
    <n v="19"/>
    <x v="0"/>
    <x v="0"/>
    <x v="10"/>
    <n v="4.0999999999999996"/>
    <x v="0"/>
    <x v="1"/>
    <n v="7.9"/>
    <n v="7"/>
    <s v="In Relationship"/>
    <n v="5"/>
    <x v="0"/>
    <x v="0"/>
    <x v="2"/>
    <s v="Healthy"/>
    <n v="0"/>
    <s v="Good"/>
    <n v="0.5787234042553191"/>
    <n v="0.64255319148936174"/>
    <n v="6.868936170212768"/>
    <n v="6.2269503546099294"/>
  </r>
  <r>
    <n v="370"/>
    <n v="21"/>
    <x v="1"/>
    <x v="1"/>
    <x v="4"/>
    <n v="4.9000000000000004"/>
    <x v="0"/>
    <x v="0"/>
    <n v="7.3"/>
    <n v="6"/>
    <s v="Single"/>
    <n v="7"/>
    <x v="0"/>
    <x v="0"/>
    <x v="0"/>
    <s v="Healthy"/>
    <n v="1"/>
    <s v="Average"/>
    <n v="0.5787234042553191"/>
    <n v="0.64255319148936174"/>
    <n v="6.868936170212768"/>
    <n v="6.2269503546099294"/>
  </r>
  <r>
    <n v="371"/>
    <n v="20"/>
    <x v="0"/>
    <x v="0"/>
    <x v="11"/>
    <n v="4.7"/>
    <x v="2"/>
    <x v="0"/>
    <n v="7.2"/>
    <n v="6"/>
    <s v="Single"/>
    <n v="7"/>
    <x v="0"/>
    <x v="0"/>
    <x v="0"/>
    <s v="Healthy"/>
    <n v="1"/>
    <s v="Average"/>
    <n v="0.5787234042553191"/>
    <n v="0.64255319148936174"/>
    <n v="6.868936170212768"/>
    <n v="6.2269503546099294"/>
  </r>
  <r>
    <n v="372"/>
    <n v="22"/>
    <x v="1"/>
    <x v="1"/>
    <x v="18"/>
    <n v="3.5"/>
    <x v="4"/>
    <x v="1"/>
    <n v="8.3000000000000007"/>
    <n v="8"/>
    <s v="In Relationship"/>
    <n v="4"/>
    <x v="1"/>
    <x v="1"/>
    <x v="2"/>
    <s v="Healthy"/>
    <n v="0"/>
    <s v="Good"/>
    <n v="0.5787234042553191"/>
    <n v="0.64255319148936174"/>
    <n v="6.868936170212768"/>
    <n v="6.2269503546099294"/>
  </r>
  <r>
    <n v="373"/>
    <n v="19"/>
    <x v="0"/>
    <x v="0"/>
    <x v="25"/>
    <n v="4.4000000000000004"/>
    <x v="0"/>
    <x v="0"/>
    <n v="7.5"/>
    <n v="7"/>
    <s v="Single"/>
    <n v="6"/>
    <x v="0"/>
    <x v="0"/>
    <x v="2"/>
    <s v="Healthy"/>
    <n v="1"/>
    <s v="Good"/>
    <n v="0.5787234042553191"/>
    <n v="0.64255319148936174"/>
    <n v="6.868936170212768"/>
    <n v="6.2269503546099294"/>
  </r>
  <r>
    <n v="374"/>
    <n v="21"/>
    <x v="1"/>
    <x v="1"/>
    <x v="1"/>
    <n v="6.3"/>
    <x v="10"/>
    <x v="0"/>
    <n v="6"/>
    <n v="5"/>
    <s v="In Relationship"/>
    <n v="8"/>
    <x v="0"/>
    <x v="2"/>
    <x v="0"/>
    <s v="Average"/>
    <n v="1"/>
    <s v="Average"/>
    <n v="0.5787234042553191"/>
    <n v="0.64255319148936174"/>
    <n v="6.868936170212768"/>
    <n v="6.2269503546099294"/>
  </r>
  <r>
    <n v="375"/>
    <n v="20"/>
    <x v="0"/>
    <x v="0"/>
    <x v="21"/>
    <n v="3.4"/>
    <x v="0"/>
    <x v="1"/>
    <n v="8.4"/>
    <n v="8"/>
    <s v="Single"/>
    <n v="4"/>
    <x v="0"/>
    <x v="1"/>
    <x v="2"/>
    <s v="Healthy"/>
    <n v="0"/>
    <s v="Good"/>
    <n v="0.5787234042553191"/>
    <n v="0.64255319148936174"/>
    <n v="6.868936170212768"/>
    <n v="6.2269503546099294"/>
  </r>
  <r>
    <n v="376"/>
    <n v="22"/>
    <x v="1"/>
    <x v="1"/>
    <x v="35"/>
    <n v="5"/>
    <x v="2"/>
    <x v="0"/>
    <n v="7.2"/>
    <n v="6"/>
    <s v="Single"/>
    <n v="7"/>
    <x v="1"/>
    <x v="0"/>
    <x v="0"/>
    <s v="Healthy"/>
    <n v="1"/>
    <s v="Average"/>
    <n v="0.5787234042553191"/>
    <n v="0.64255319148936174"/>
    <n v="6.868936170212768"/>
    <n v="6.2269503546099294"/>
  </r>
  <r>
    <n v="377"/>
    <n v="19"/>
    <x v="0"/>
    <x v="0"/>
    <x v="2"/>
    <n v="7.3"/>
    <x v="0"/>
    <x v="0"/>
    <n v="5"/>
    <n v="5"/>
    <s v="In Relationship"/>
    <n v="9"/>
    <x v="0"/>
    <x v="2"/>
    <x v="0"/>
    <s v="Poor"/>
    <n v="1"/>
    <s v="Average"/>
    <n v="0.5787234042553191"/>
    <n v="0.64255319148936174"/>
    <n v="6.868936170212768"/>
    <n v="6.2269503546099294"/>
  </r>
  <r>
    <n v="378"/>
    <n v="21"/>
    <x v="1"/>
    <x v="1"/>
    <x v="13"/>
    <n v="6.1"/>
    <x v="10"/>
    <x v="0"/>
    <n v="6.1"/>
    <n v="6"/>
    <s v="Single"/>
    <n v="7"/>
    <x v="0"/>
    <x v="2"/>
    <x v="0"/>
    <s v="Average"/>
    <n v="1"/>
    <s v="Average"/>
    <n v="0.5787234042553191"/>
    <n v="0.64255319148936174"/>
    <n v="6.868936170212768"/>
    <n v="6.2269503546099294"/>
  </r>
  <r>
    <n v="379"/>
    <n v="20"/>
    <x v="0"/>
    <x v="0"/>
    <x v="10"/>
    <n v="4"/>
    <x v="0"/>
    <x v="1"/>
    <n v="8"/>
    <n v="7"/>
    <s v="In Relationship"/>
    <n v="5"/>
    <x v="0"/>
    <x v="0"/>
    <x v="2"/>
    <s v="Healthy"/>
    <n v="0"/>
    <s v="Good"/>
    <n v="0.5787234042553191"/>
    <n v="0.64255319148936174"/>
    <n v="6.868936170212768"/>
    <n v="6.2269503546099294"/>
  </r>
  <r>
    <n v="380"/>
    <n v="22"/>
    <x v="1"/>
    <x v="1"/>
    <x v="4"/>
    <n v="4.8"/>
    <x v="2"/>
    <x v="0"/>
    <n v="7.4"/>
    <n v="6"/>
    <s v="Single"/>
    <n v="7"/>
    <x v="1"/>
    <x v="0"/>
    <x v="0"/>
    <s v="Healthy"/>
    <n v="1"/>
    <s v="Average"/>
    <n v="0.5787234042553191"/>
    <n v="0.64255319148936174"/>
    <n v="6.868936170212768"/>
    <n v="6.2269503546099294"/>
  </r>
  <r>
    <n v="381"/>
    <n v="19"/>
    <x v="0"/>
    <x v="0"/>
    <x v="11"/>
    <n v="4.5999999999999996"/>
    <x v="0"/>
    <x v="0"/>
    <n v="7.3"/>
    <n v="6"/>
    <s v="Single"/>
    <n v="7"/>
    <x v="0"/>
    <x v="0"/>
    <x v="0"/>
    <s v="Healthy"/>
    <n v="1"/>
    <s v="Average"/>
    <n v="0.5787234042553191"/>
    <n v="0.64255319148936174"/>
    <n v="6.868936170212768"/>
    <n v="6.2269503546099294"/>
  </r>
  <r>
    <n v="382"/>
    <n v="21"/>
    <x v="1"/>
    <x v="1"/>
    <x v="18"/>
    <n v="3.4"/>
    <x v="4"/>
    <x v="1"/>
    <n v="8.4"/>
    <n v="8"/>
    <s v="In Relationship"/>
    <n v="4"/>
    <x v="0"/>
    <x v="1"/>
    <x v="2"/>
    <s v="Healthy"/>
    <n v="0"/>
    <s v="Good"/>
    <n v="0.5787234042553191"/>
    <n v="0.64255319148936174"/>
    <n v="6.868936170212768"/>
    <n v="6.2269503546099294"/>
  </r>
  <r>
    <n v="383"/>
    <n v="20"/>
    <x v="0"/>
    <x v="0"/>
    <x v="25"/>
    <n v="4.3"/>
    <x v="2"/>
    <x v="0"/>
    <n v="7.6"/>
    <n v="7"/>
    <s v="Single"/>
    <n v="6"/>
    <x v="0"/>
    <x v="0"/>
    <x v="2"/>
    <s v="Healthy"/>
    <n v="1"/>
    <s v="Good"/>
    <n v="0.5787234042553191"/>
    <n v="0.64255319148936174"/>
    <n v="6.868936170212768"/>
    <n v="6.2269503546099294"/>
  </r>
  <r>
    <n v="384"/>
    <n v="22"/>
    <x v="1"/>
    <x v="1"/>
    <x v="1"/>
    <n v="6.4"/>
    <x v="10"/>
    <x v="0"/>
    <n v="5.9"/>
    <n v="5"/>
    <s v="In Relationship"/>
    <n v="8"/>
    <x v="1"/>
    <x v="2"/>
    <x v="0"/>
    <s v="Poor"/>
    <n v="1"/>
    <s v="Average"/>
    <n v="0.5787234042553191"/>
    <n v="0.64255319148936174"/>
    <n v="6.868936170212768"/>
    <n v="6.2269503546099294"/>
  </r>
  <r>
    <n v="385"/>
    <n v="19"/>
    <x v="0"/>
    <x v="0"/>
    <x v="21"/>
    <n v="3.3"/>
    <x v="0"/>
    <x v="1"/>
    <n v="8.5"/>
    <n v="8"/>
    <s v="Single"/>
    <n v="4"/>
    <x v="0"/>
    <x v="1"/>
    <x v="2"/>
    <s v="Healthy"/>
    <n v="0"/>
    <s v="Good"/>
    <n v="0.5787234042553191"/>
    <n v="0.64255319148936174"/>
    <n v="6.868936170212768"/>
    <n v="6.2269503546099294"/>
  </r>
  <r>
    <n v="386"/>
    <n v="21"/>
    <x v="1"/>
    <x v="1"/>
    <x v="35"/>
    <n v="4.9000000000000004"/>
    <x v="0"/>
    <x v="0"/>
    <n v="7.3"/>
    <n v="6"/>
    <s v="Single"/>
    <n v="7"/>
    <x v="0"/>
    <x v="0"/>
    <x v="0"/>
    <s v="Healthy"/>
    <n v="1"/>
    <s v="Average"/>
    <n v="0.5787234042553191"/>
    <n v="0.64255319148936174"/>
    <n v="6.868936170212768"/>
    <n v="6.2269503546099294"/>
  </r>
  <r>
    <n v="387"/>
    <n v="20"/>
    <x v="0"/>
    <x v="0"/>
    <x v="2"/>
    <n v="7.4"/>
    <x v="2"/>
    <x v="0"/>
    <n v="4.9000000000000004"/>
    <n v="5"/>
    <s v="In Relationship"/>
    <n v="9"/>
    <x v="0"/>
    <x v="2"/>
    <x v="0"/>
    <s v="Poor"/>
    <n v="1"/>
    <s v="Average"/>
    <n v="0.5787234042553191"/>
    <n v="0.64255319148936174"/>
    <n v="6.868936170212768"/>
    <n v="6.2269503546099294"/>
  </r>
  <r>
    <n v="388"/>
    <n v="22"/>
    <x v="1"/>
    <x v="1"/>
    <x v="13"/>
    <n v="6.2"/>
    <x v="10"/>
    <x v="0"/>
    <n v="6"/>
    <n v="6"/>
    <s v="Single"/>
    <n v="7"/>
    <x v="1"/>
    <x v="2"/>
    <x v="0"/>
    <s v="Average"/>
    <n v="1"/>
    <s v="Average"/>
    <n v="0.5787234042553191"/>
    <n v="0.64255319148936174"/>
    <n v="6.868936170212768"/>
    <n v="6.2269503546099294"/>
  </r>
  <r>
    <n v="389"/>
    <n v="19"/>
    <x v="0"/>
    <x v="0"/>
    <x v="10"/>
    <n v="3.9"/>
    <x v="0"/>
    <x v="1"/>
    <n v="8.1"/>
    <n v="7"/>
    <s v="In Relationship"/>
    <n v="5"/>
    <x v="0"/>
    <x v="1"/>
    <x v="2"/>
    <s v="Healthy"/>
    <n v="0"/>
    <s v="Good"/>
    <n v="0.5787234042553191"/>
    <n v="0.64255319148936174"/>
    <n v="6.868936170212768"/>
    <n v="6.2269503546099294"/>
  </r>
  <r>
    <n v="390"/>
    <n v="21"/>
    <x v="1"/>
    <x v="1"/>
    <x v="4"/>
    <n v="4.7"/>
    <x v="0"/>
    <x v="0"/>
    <n v="7.5"/>
    <n v="6"/>
    <s v="Single"/>
    <n v="7"/>
    <x v="0"/>
    <x v="0"/>
    <x v="0"/>
    <s v="Healthy"/>
    <n v="1"/>
    <s v="Average"/>
    <n v="0.5787234042553191"/>
    <n v="0.64255319148936174"/>
    <n v="6.868936170212768"/>
    <n v="6.2269503546099294"/>
  </r>
  <r>
    <n v="391"/>
    <n v="20"/>
    <x v="0"/>
    <x v="0"/>
    <x v="11"/>
    <n v="4.5"/>
    <x v="2"/>
    <x v="0"/>
    <n v="7.4"/>
    <n v="6"/>
    <s v="Single"/>
    <n v="7"/>
    <x v="0"/>
    <x v="0"/>
    <x v="0"/>
    <s v="Healthy"/>
    <n v="1"/>
    <s v="Average"/>
    <n v="0.5787234042553191"/>
    <n v="0.64255319148936174"/>
    <n v="6.868936170212768"/>
    <n v="6.2269503546099294"/>
  </r>
  <r>
    <n v="392"/>
    <n v="22"/>
    <x v="1"/>
    <x v="1"/>
    <x v="18"/>
    <n v="3.3"/>
    <x v="4"/>
    <x v="1"/>
    <n v="8.5"/>
    <n v="8"/>
    <s v="In Relationship"/>
    <n v="4"/>
    <x v="1"/>
    <x v="1"/>
    <x v="2"/>
    <s v="Healthy"/>
    <n v="0"/>
    <s v="Good"/>
    <n v="0.5787234042553191"/>
    <n v="0.64255319148936174"/>
    <n v="6.868936170212768"/>
    <n v="6.2269503546099294"/>
  </r>
  <r>
    <n v="393"/>
    <n v="19"/>
    <x v="0"/>
    <x v="0"/>
    <x v="25"/>
    <n v="4.2"/>
    <x v="0"/>
    <x v="0"/>
    <n v="7.7"/>
    <n v="7"/>
    <s v="Single"/>
    <n v="6"/>
    <x v="0"/>
    <x v="0"/>
    <x v="2"/>
    <s v="Healthy"/>
    <n v="1"/>
    <s v="Good"/>
    <n v="0.5787234042553191"/>
    <n v="0.64255319148936174"/>
    <n v="6.868936170212768"/>
    <n v="6.2269503546099294"/>
  </r>
  <r>
    <n v="394"/>
    <n v="21"/>
    <x v="1"/>
    <x v="1"/>
    <x v="1"/>
    <n v="6.5"/>
    <x v="10"/>
    <x v="0"/>
    <n v="5.8"/>
    <n v="5"/>
    <s v="In Relationship"/>
    <n v="8"/>
    <x v="0"/>
    <x v="2"/>
    <x v="0"/>
    <s v="Poor"/>
    <n v="1"/>
    <s v="Average"/>
    <n v="0.5787234042553191"/>
    <n v="0.64255319148936174"/>
    <n v="6.868936170212768"/>
    <n v="6.2269503546099294"/>
  </r>
  <r>
    <n v="395"/>
    <n v="20"/>
    <x v="0"/>
    <x v="0"/>
    <x v="21"/>
    <n v="3.2"/>
    <x v="0"/>
    <x v="1"/>
    <n v="8.6"/>
    <n v="8"/>
    <s v="Single"/>
    <n v="4"/>
    <x v="0"/>
    <x v="1"/>
    <x v="2"/>
    <s v="Healthy"/>
    <n v="0"/>
    <s v="Good"/>
    <n v="0.5787234042553191"/>
    <n v="0.64255319148936174"/>
    <n v="6.868936170212768"/>
    <n v="6.2269503546099294"/>
  </r>
  <r>
    <n v="396"/>
    <n v="22"/>
    <x v="1"/>
    <x v="1"/>
    <x v="35"/>
    <n v="4.8"/>
    <x v="2"/>
    <x v="0"/>
    <n v="7.4"/>
    <n v="6"/>
    <s v="Single"/>
    <n v="7"/>
    <x v="1"/>
    <x v="0"/>
    <x v="0"/>
    <s v="Healthy"/>
    <n v="1"/>
    <s v="Average"/>
    <n v="0.5787234042553191"/>
    <n v="0.64255319148936174"/>
    <n v="6.868936170212768"/>
    <n v="6.2269503546099294"/>
  </r>
  <r>
    <n v="397"/>
    <n v="19"/>
    <x v="0"/>
    <x v="0"/>
    <x v="2"/>
    <n v="7.5"/>
    <x v="0"/>
    <x v="0"/>
    <n v="4.8"/>
    <n v="5"/>
    <s v="In Relationship"/>
    <n v="9"/>
    <x v="0"/>
    <x v="2"/>
    <x v="0"/>
    <s v="Poor"/>
    <n v="1"/>
    <s v="Average"/>
    <n v="0.5787234042553191"/>
    <n v="0.64255319148936174"/>
    <n v="6.868936170212768"/>
    <n v="6.2269503546099294"/>
  </r>
  <r>
    <n v="398"/>
    <n v="21"/>
    <x v="1"/>
    <x v="1"/>
    <x v="13"/>
    <n v="6.3"/>
    <x v="10"/>
    <x v="0"/>
    <n v="5.9"/>
    <n v="6"/>
    <s v="Single"/>
    <n v="7"/>
    <x v="0"/>
    <x v="2"/>
    <x v="0"/>
    <s v="Poor"/>
    <n v="1"/>
    <s v="Average"/>
    <n v="0.5787234042553191"/>
    <n v="0.64255319148936174"/>
    <n v="6.868936170212768"/>
    <n v="6.2269503546099294"/>
  </r>
  <r>
    <n v="399"/>
    <n v="20"/>
    <x v="0"/>
    <x v="0"/>
    <x v="10"/>
    <n v="3.8"/>
    <x v="0"/>
    <x v="1"/>
    <n v="8.1999999999999993"/>
    <n v="7"/>
    <s v="In Relationship"/>
    <n v="5"/>
    <x v="0"/>
    <x v="1"/>
    <x v="2"/>
    <s v="Healthy"/>
    <n v="0"/>
    <s v="Good"/>
    <n v="0.5787234042553191"/>
    <n v="0.64255319148936174"/>
    <n v="6.868936170212768"/>
    <n v="6.2269503546099294"/>
  </r>
  <r>
    <n v="400"/>
    <n v="22"/>
    <x v="1"/>
    <x v="1"/>
    <x v="4"/>
    <n v="4.5999999999999996"/>
    <x v="2"/>
    <x v="0"/>
    <n v="7.6"/>
    <n v="6"/>
    <s v="Single"/>
    <n v="7"/>
    <x v="1"/>
    <x v="0"/>
    <x v="0"/>
    <s v="Healthy"/>
    <n v="1"/>
    <s v="Average"/>
    <n v="0.5787234042553191"/>
    <n v="0.64255319148936174"/>
    <n v="6.868936170212768"/>
    <n v="6.2269503546099294"/>
  </r>
  <r>
    <n v="401"/>
    <n v="19"/>
    <x v="0"/>
    <x v="0"/>
    <x v="11"/>
    <n v="4.4000000000000004"/>
    <x v="0"/>
    <x v="0"/>
    <n v="7.5"/>
    <n v="6"/>
    <s v="Single"/>
    <n v="7"/>
    <x v="0"/>
    <x v="0"/>
    <x v="0"/>
    <s v="Healthy"/>
    <n v="1"/>
    <s v="Average"/>
    <n v="0.5787234042553191"/>
    <n v="0.64255319148936174"/>
    <n v="6.868936170212768"/>
    <n v="6.2269503546099294"/>
  </r>
  <r>
    <n v="402"/>
    <n v="21"/>
    <x v="1"/>
    <x v="1"/>
    <x v="18"/>
    <n v="3.2"/>
    <x v="4"/>
    <x v="1"/>
    <n v="8.6"/>
    <n v="8"/>
    <s v="In Relationship"/>
    <n v="4"/>
    <x v="0"/>
    <x v="1"/>
    <x v="2"/>
    <s v="Healthy"/>
    <n v="0"/>
    <s v="Good"/>
    <n v="0.5787234042553191"/>
    <n v="0.64255319148936174"/>
    <n v="6.868936170212768"/>
    <n v="6.2269503546099294"/>
  </r>
  <r>
    <n v="403"/>
    <n v="20"/>
    <x v="0"/>
    <x v="0"/>
    <x v="25"/>
    <n v="4.0999999999999996"/>
    <x v="2"/>
    <x v="0"/>
    <n v="7.8"/>
    <n v="7"/>
    <s v="Single"/>
    <n v="6"/>
    <x v="0"/>
    <x v="0"/>
    <x v="2"/>
    <s v="Healthy"/>
    <n v="1"/>
    <s v="Good"/>
    <n v="0.5787234042553191"/>
    <n v="0.64255319148936174"/>
    <n v="6.868936170212768"/>
    <n v="6.2269503546099294"/>
  </r>
  <r>
    <n v="404"/>
    <n v="22"/>
    <x v="1"/>
    <x v="1"/>
    <x v="1"/>
    <n v="6.6"/>
    <x v="10"/>
    <x v="0"/>
    <n v="5.7"/>
    <n v="5"/>
    <s v="In Relationship"/>
    <n v="8"/>
    <x v="1"/>
    <x v="2"/>
    <x v="0"/>
    <s v="Poor"/>
    <n v="1"/>
    <s v="Average"/>
    <n v="0.5787234042553191"/>
    <n v="0.64255319148936174"/>
    <n v="6.868936170212768"/>
    <n v="6.2269503546099294"/>
  </r>
  <r>
    <n v="405"/>
    <n v="19"/>
    <x v="0"/>
    <x v="0"/>
    <x v="21"/>
    <n v="3.1"/>
    <x v="0"/>
    <x v="1"/>
    <n v="8.6999999999999993"/>
    <n v="8"/>
    <s v="Single"/>
    <n v="4"/>
    <x v="0"/>
    <x v="1"/>
    <x v="2"/>
    <s v="Healthy"/>
    <n v="0"/>
    <s v="Good"/>
    <n v="0.5787234042553191"/>
    <n v="0.64255319148936174"/>
    <n v="6.868936170212768"/>
    <n v="6.2269503546099294"/>
  </r>
  <r>
    <n v="406"/>
    <n v="21"/>
    <x v="1"/>
    <x v="1"/>
    <x v="35"/>
    <n v="4.7"/>
    <x v="0"/>
    <x v="0"/>
    <n v="7.5"/>
    <n v="6"/>
    <s v="Single"/>
    <n v="7"/>
    <x v="0"/>
    <x v="0"/>
    <x v="0"/>
    <s v="Healthy"/>
    <n v="1"/>
    <s v="Average"/>
    <n v="0.5787234042553191"/>
    <n v="0.64255319148936174"/>
    <n v="6.868936170212768"/>
    <n v="6.2269503546099294"/>
  </r>
  <r>
    <n v="407"/>
    <n v="20"/>
    <x v="0"/>
    <x v="0"/>
    <x v="2"/>
    <n v="7.6"/>
    <x v="2"/>
    <x v="0"/>
    <n v="4.7"/>
    <n v="5"/>
    <s v="In Relationship"/>
    <n v="9"/>
    <x v="0"/>
    <x v="2"/>
    <x v="0"/>
    <s v="Poor"/>
    <n v="1"/>
    <s v="Average"/>
    <n v="0.5787234042553191"/>
    <n v="0.64255319148936174"/>
    <n v="6.868936170212768"/>
    <n v="6.2269503546099294"/>
  </r>
  <r>
    <n v="408"/>
    <n v="22"/>
    <x v="1"/>
    <x v="1"/>
    <x v="13"/>
    <n v="6.4"/>
    <x v="10"/>
    <x v="0"/>
    <n v="5.8"/>
    <n v="6"/>
    <s v="Single"/>
    <n v="7"/>
    <x v="1"/>
    <x v="2"/>
    <x v="0"/>
    <s v="Poor"/>
    <n v="1"/>
    <s v="Average"/>
    <n v="0.5787234042553191"/>
    <n v="0.64255319148936174"/>
    <n v="6.868936170212768"/>
    <n v="6.2269503546099294"/>
  </r>
  <r>
    <n v="409"/>
    <n v="19"/>
    <x v="0"/>
    <x v="0"/>
    <x v="10"/>
    <n v="3.7"/>
    <x v="0"/>
    <x v="1"/>
    <n v="8.3000000000000007"/>
    <n v="7"/>
    <s v="In Relationship"/>
    <n v="5"/>
    <x v="0"/>
    <x v="1"/>
    <x v="2"/>
    <s v="Healthy"/>
    <n v="0"/>
    <s v="Good"/>
    <n v="0.5787234042553191"/>
    <n v="0.64255319148936174"/>
    <n v="6.868936170212768"/>
    <n v="6.2269503546099294"/>
  </r>
  <r>
    <n v="410"/>
    <n v="21"/>
    <x v="1"/>
    <x v="1"/>
    <x v="4"/>
    <n v="4.5"/>
    <x v="0"/>
    <x v="0"/>
    <n v="7.7"/>
    <n v="6"/>
    <s v="Single"/>
    <n v="7"/>
    <x v="0"/>
    <x v="0"/>
    <x v="0"/>
    <s v="Healthy"/>
    <n v="1"/>
    <s v="Average"/>
    <n v="0.5787234042553191"/>
    <n v="0.64255319148936174"/>
    <n v="6.868936170212768"/>
    <n v="6.2269503546099294"/>
  </r>
  <r>
    <n v="411"/>
    <n v="20"/>
    <x v="0"/>
    <x v="0"/>
    <x v="11"/>
    <n v="4.3"/>
    <x v="2"/>
    <x v="0"/>
    <n v="7.6"/>
    <n v="6"/>
    <s v="Single"/>
    <n v="7"/>
    <x v="0"/>
    <x v="0"/>
    <x v="0"/>
    <s v="Healthy"/>
    <n v="1"/>
    <s v="Average"/>
    <n v="0.5787234042553191"/>
    <n v="0.64255319148936174"/>
    <n v="6.868936170212768"/>
    <n v="6.2269503546099294"/>
  </r>
  <r>
    <n v="412"/>
    <n v="22"/>
    <x v="1"/>
    <x v="1"/>
    <x v="18"/>
    <n v="3.1"/>
    <x v="4"/>
    <x v="1"/>
    <n v="8.6999999999999993"/>
    <n v="8"/>
    <s v="In Relationship"/>
    <n v="4"/>
    <x v="1"/>
    <x v="1"/>
    <x v="2"/>
    <s v="Healthy"/>
    <n v="0"/>
    <s v="Good"/>
    <n v="0.5787234042553191"/>
    <n v="0.64255319148936174"/>
    <n v="6.868936170212768"/>
    <n v="6.2269503546099294"/>
  </r>
  <r>
    <n v="413"/>
    <n v="19"/>
    <x v="0"/>
    <x v="0"/>
    <x v="25"/>
    <n v="4"/>
    <x v="0"/>
    <x v="0"/>
    <n v="7.9"/>
    <n v="7"/>
    <s v="Single"/>
    <n v="6"/>
    <x v="0"/>
    <x v="0"/>
    <x v="2"/>
    <s v="Healthy"/>
    <n v="1"/>
    <s v="Good"/>
    <n v="0.5787234042553191"/>
    <n v="0.64255319148936174"/>
    <n v="6.868936170212768"/>
    <n v="6.2269503546099294"/>
  </r>
  <r>
    <n v="414"/>
    <n v="21"/>
    <x v="1"/>
    <x v="1"/>
    <x v="1"/>
    <n v="6.7"/>
    <x v="10"/>
    <x v="0"/>
    <n v="5.6"/>
    <n v="5"/>
    <s v="In Relationship"/>
    <n v="8"/>
    <x v="0"/>
    <x v="2"/>
    <x v="0"/>
    <s v="Poor"/>
    <n v="1"/>
    <s v="Average"/>
    <n v="0.5787234042553191"/>
    <n v="0.64255319148936174"/>
    <n v="6.868936170212768"/>
    <n v="6.2269503546099294"/>
  </r>
  <r>
    <n v="415"/>
    <n v="20"/>
    <x v="0"/>
    <x v="0"/>
    <x v="21"/>
    <n v="3"/>
    <x v="0"/>
    <x v="1"/>
    <n v="8.8000000000000007"/>
    <n v="8"/>
    <s v="Single"/>
    <n v="4"/>
    <x v="0"/>
    <x v="1"/>
    <x v="2"/>
    <s v="Healthy"/>
    <n v="0"/>
    <s v="Good"/>
    <n v="0.5787234042553191"/>
    <n v="0.64255319148936174"/>
    <n v="6.868936170212768"/>
    <n v="6.2269503546099294"/>
  </r>
  <r>
    <n v="416"/>
    <n v="22"/>
    <x v="1"/>
    <x v="1"/>
    <x v="35"/>
    <n v="4.5999999999999996"/>
    <x v="2"/>
    <x v="0"/>
    <n v="7.6"/>
    <n v="6"/>
    <s v="Single"/>
    <n v="7"/>
    <x v="1"/>
    <x v="0"/>
    <x v="0"/>
    <s v="Healthy"/>
    <n v="1"/>
    <s v="Average"/>
    <n v="0.5787234042553191"/>
    <n v="0.64255319148936174"/>
    <n v="6.868936170212768"/>
    <n v="6.2269503546099294"/>
  </r>
  <r>
    <n v="417"/>
    <n v="19"/>
    <x v="0"/>
    <x v="0"/>
    <x v="2"/>
    <n v="7.7"/>
    <x v="0"/>
    <x v="0"/>
    <n v="4.5999999999999996"/>
    <n v="5"/>
    <s v="In Relationship"/>
    <n v="9"/>
    <x v="0"/>
    <x v="2"/>
    <x v="0"/>
    <s v="Poor"/>
    <n v="1"/>
    <s v="Average"/>
    <n v="0.5787234042553191"/>
    <n v="0.64255319148936174"/>
    <n v="6.868936170212768"/>
    <n v="6.2269503546099294"/>
  </r>
  <r>
    <n v="418"/>
    <n v="21"/>
    <x v="1"/>
    <x v="1"/>
    <x v="13"/>
    <n v="6.5"/>
    <x v="10"/>
    <x v="0"/>
    <n v="5.7"/>
    <n v="6"/>
    <s v="Single"/>
    <n v="7"/>
    <x v="0"/>
    <x v="2"/>
    <x v="0"/>
    <s v="Poor"/>
    <n v="1"/>
    <s v="Average"/>
    <n v="0.5787234042553191"/>
    <n v="0.64255319148936174"/>
    <n v="6.868936170212768"/>
    <n v="6.2269503546099294"/>
  </r>
  <r>
    <n v="419"/>
    <n v="20"/>
    <x v="0"/>
    <x v="0"/>
    <x v="10"/>
    <n v="3.6"/>
    <x v="0"/>
    <x v="1"/>
    <n v="8.4"/>
    <n v="7"/>
    <s v="In Relationship"/>
    <n v="5"/>
    <x v="0"/>
    <x v="1"/>
    <x v="2"/>
    <s v="Healthy"/>
    <n v="0"/>
    <s v="Good"/>
    <n v="0.5787234042553191"/>
    <n v="0.64255319148936174"/>
    <n v="6.868936170212768"/>
    <n v="6.2269503546099294"/>
  </r>
  <r>
    <n v="420"/>
    <n v="22"/>
    <x v="1"/>
    <x v="1"/>
    <x v="4"/>
    <n v="4.4000000000000004"/>
    <x v="2"/>
    <x v="0"/>
    <n v="7.8"/>
    <n v="6"/>
    <s v="Single"/>
    <n v="7"/>
    <x v="1"/>
    <x v="0"/>
    <x v="0"/>
    <s v="Healthy"/>
    <n v="1"/>
    <s v="Average"/>
    <n v="0.5787234042553191"/>
    <n v="0.64255319148936174"/>
    <n v="6.868936170212768"/>
    <n v="6.2269503546099294"/>
  </r>
  <r>
    <n v="421"/>
    <n v="19"/>
    <x v="0"/>
    <x v="0"/>
    <x v="11"/>
    <n v="4.2"/>
    <x v="0"/>
    <x v="0"/>
    <n v="7.7"/>
    <n v="6"/>
    <s v="Single"/>
    <n v="7"/>
    <x v="0"/>
    <x v="0"/>
    <x v="0"/>
    <s v="Healthy"/>
    <n v="1"/>
    <s v="Average"/>
    <n v="0.5787234042553191"/>
    <n v="0.64255319148936174"/>
    <n v="6.868936170212768"/>
    <n v="6.2269503546099294"/>
  </r>
  <r>
    <n v="422"/>
    <n v="21"/>
    <x v="1"/>
    <x v="1"/>
    <x v="18"/>
    <n v="3"/>
    <x v="4"/>
    <x v="1"/>
    <n v="8.8000000000000007"/>
    <n v="8"/>
    <s v="In Relationship"/>
    <n v="4"/>
    <x v="0"/>
    <x v="1"/>
    <x v="2"/>
    <s v="Healthy"/>
    <n v="0"/>
    <s v="Good"/>
    <n v="0.5787234042553191"/>
    <n v="0.64255319148936174"/>
    <n v="6.868936170212768"/>
    <n v="6.2269503546099294"/>
  </r>
  <r>
    <n v="423"/>
    <n v="20"/>
    <x v="0"/>
    <x v="0"/>
    <x v="25"/>
    <n v="3.9"/>
    <x v="2"/>
    <x v="0"/>
    <n v="8"/>
    <n v="7"/>
    <s v="Single"/>
    <n v="6"/>
    <x v="0"/>
    <x v="1"/>
    <x v="2"/>
    <s v="Healthy"/>
    <n v="1"/>
    <s v="Good"/>
    <n v="0.5787234042553191"/>
    <n v="0.64255319148936174"/>
    <n v="6.868936170212768"/>
    <n v="6.2269503546099294"/>
  </r>
  <r>
    <n v="424"/>
    <n v="22"/>
    <x v="1"/>
    <x v="1"/>
    <x v="1"/>
    <n v="6.8"/>
    <x v="10"/>
    <x v="0"/>
    <n v="5.5"/>
    <n v="5"/>
    <s v="In Relationship"/>
    <n v="8"/>
    <x v="1"/>
    <x v="2"/>
    <x v="0"/>
    <s v="Poor"/>
    <n v="1"/>
    <s v="Average"/>
    <n v="0.5787234042553191"/>
    <n v="0.64255319148936174"/>
    <n v="6.868936170212768"/>
    <n v="6.2269503546099294"/>
  </r>
  <r>
    <n v="425"/>
    <n v="19"/>
    <x v="0"/>
    <x v="0"/>
    <x v="21"/>
    <n v="2.9"/>
    <x v="0"/>
    <x v="1"/>
    <n v="8.9"/>
    <n v="8"/>
    <s v="Single"/>
    <n v="4"/>
    <x v="0"/>
    <x v="1"/>
    <x v="2"/>
    <s v="Healthy"/>
    <n v="0"/>
    <s v="Good"/>
    <n v="0.5787234042553191"/>
    <n v="0.64255319148936174"/>
    <n v="6.868936170212768"/>
    <n v="6.2269503546099294"/>
  </r>
  <r>
    <n v="426"/>
    <n v="21"/>
    <x v="1"/>
    <x v="1"/>
    <x v="35"/>
    <n v="4.5"/>
    <x v="0"/>
    <x v="0"/>
    <n v="7.7"/>
    <n v="6"/>
    <s v="Single"/>
    <n v="7"/>
    <x v="0"/>
    <x v="0"/>
    <x v="0"/>
    <s v="Healthy"/>
    <n v="1"/>
    <s v="Average"/>
    <n v="0.5787234042553191"/>
    <n v="0.64255319148936174"/>
    <n v="6.868936170212768"/>
    <n v="6.2269503546099294"/>
  </r>
  <r>
    <n v="427"/>
    <n v="20"/>
    <x v="0"/>
    <x v="0"/>
    <x v="2"/>
    <n v="7.8"/>
    <x v="2"/>
    <x v="0"/>
    <n v="4.5"/>
    <n v="5"/>
    <s v="In Relationship"/>
    <n v="9"/>
    <x v="0"/>
    <x v="2"/>
    <x v="0"/>
    <s v="Poor"/>
    <n v="1"/>
    <s v="Average"/>
    <n v="0.5787234042553191"/>
    <n v="0.64255319148936174"/>
    <n v="6.868936170212768"/>
    <n v="6.2269503546099294"/>
  </r>
  <r>
    <n v="428"/>
    <n v="22"/>
    <x v="1"/>
    <x v="1"/>
    <x v="13"/>
    <n v="6.6"/>
    <x v="10"/>
    <x v="0"/>
    <n v="5.6"/>
    <n v="6"/>
    <s v="Single"/>
    <n v="7"/>
    <x v="1"/>
    <x v="2"/>
    <x v="0"/>
    <s v="Poor"/>
    <n v="1"/>
    <s v="Average"/>
    <n v="0.5787234042553191"/>
    <n v="0.64255319148936174"/>
    <n v="6.868936170212768"/>
    <n v="6.2269503546099294"/>
  </r>
  <r>
    <n v="429"/>
    <n v="19"/>
    <x v="0"/>
    <x v="0"/>
    <x v="10"/>
    <n v="3.5"/>
    <x v="0"/>
    <x v="1"/>
    <n v="8.5"/>
    <n v="7"/>
    <s v="In Relationship"/>
    <n v="5"/>
    <x v="0"/>
    <x v="1"/>
    <x v="2"/>
    <s v="Healthy"/>
    <n v="0"/>
    <s v="Good"/>
    <n v="0.5787234042553191"/>
    <n v="0.64255319148936174"/>
    <n v="6.868936170212768"/>
    <n v="6.2269503546099294"/>
  </r>
  <r>
    <n v="430"/>
    <n v="21"/>
    <x v="1"/>
    <x v="1"/>
    <x v="4"/>
    <n v="4.3"/>
    <x v="0"/>
    <x v="0"/>
    <n v="7.9"/>
    <n v="6"/>
    <s v="Single"/>
    <n v="7"/>
    <x v="0"/>
    <x v="0"/>
    <x v="0"/>
    <s v="Healthy"/>
    <n v="1"/>
    <s v="Average"/>
    <n v="0.5787234042553191"/>
    <n v="0.64255319148936174"/>
    <n v="6.868936170212768"/>
    <n v="6.2269503546099294"/>
  </r>
  <r>
    <n v="431"/>
    <n v="20"/>
    <x v="0"/>
    <x v="0"/>
    <x v="11"/>
    <n v="4.0999999999999996"/>
    <x v="2"/>
    <x v="0"/>
    <n v="7.8"/>
    <n v="6"/>
    <s v="Single"/>
    <n v="7"/>
    <x v="0"/>
    <x v="0"/>
    <x v="0"/>
    <s v="Healthy"/>
    <n v="1"/>
    <s v="Average"/>
    <n v="0.5787234042553191"/>
    <n v="0.64255319148936174"/>
    <n v="6.868936170212768"/>
    <n v="6.2269503546099294"/>
  </r>
  <r>
    <n v="432"/>
    <n v="22"/>
    <x v="1"/>
    <x v="1"/>
    <x v="18"/>
    <n v="2.9"/>
    <x v="4"/>
    <x v="1"/>
    <n v="8.9"/>
    <n v="8"/>
    <s v="In Relationship"/>
    <n v="4"/>
    <x v="1"/>
    <x v="1"/>
    <x v="2"/>
    <s v="Healthy"/>
    <n v="0"/>
    <s v="Good"/>
    <n v="0.5787234042553191"/>
    <n v="0.64255319148936174"/>
    <n v="6.868936170212768"/>
    <n v="6.2269503546099294"/>
  </r>
  <r>
    <n v="433"/>
    <n v="19"/>
    <x v="0"/>
    <x v="0"/>
    <x v="25"/>
    <n v="3.8"/>
    <x v="0"/>
    <x v="0"/>
    <n v="8.1"/>
    <n v="7"/>
    <s v="Single"/>
    <n v="6"/>
    <x v="0"/>
    <x v="1"/>
    <x v="2"/>
    <s v="Healthy"/>
    <n v="1"/>
    <s v="Good"/>
    <n v="0.5787234042553191"/>
    <n v="0.64255319148936174"/>
    <n v="6.868936170212768"/>
    <n v="6.2269503546099294"/>
  </r>
  <r>
    <n v="434"/>
    <n v="21"/>
    <x v="1"/>
    <x v="1"/>
    <x v="1"/>
    <n v="6.9"/>
    <x v="10"/>
    <x v="0"/>
    <n v="5.4"/>
    <n v="5"/>
    <s v="In Relationship"/>
    <n v="8"/>
    <x v="0"/>
    <x v="2"/>
    <x v="0"/>
    <s v="Poor"/>
    <n v="1"/>
    <s v="Average"/>
    <n v="0.5787234042553191"/>
    <n v="0.64255319148936174"/>
    <n v="6.868936170212768"/>
    <n v="6.2269503546099294"/>
  </r>
  <r>
    <n v="435"/>
    <n v="20"/>
    <x v="0"/>
    <x v="0"/>
    <x v="21"/>
    <n v="2.8"/>
    <x v="0"/>
    <x v="1"/>
    <n v="9"/>
    <n v="8"/>
    <s v="Single"/>
    <n v="4"/>
    <x v="0"/>
    <x v="1"/>
    <x v="2"/>
    <s v="Healthy"/>
    <n v="0"/>
    <s v="Good"/>
    <n v="0.5787234042553191"/>
    <n v="0.64255319148936174"/>
    <n v="6.868936170212768"/>
    <n v="6.2269503546099294"/>
  </r>
  <r>
    <n v="436"/>
    <n v="22"/>
    <x v="1"/>
    <x v="1"/>
    <x v="35"/>
    <n v="4.4000000000000004"/>
    <x v="2"/>
    <x v="0"/>
    <n v="7.8"/>
    <n v="6"/>
    <s v="Single"/>
    <n v="7"/>
    <x v="1"/>
    <x v="0"/>
    <x v="0"/>
    <s v="Healthy"/>
    <n v="1"/>
    <s v="Average"/>
    <n v="0.5787234042553191"/>
    <n v="0.64255319148936174"/>
    <n v="6.868936170212768"/>
    <n v="6.2269503546099294"/>
  </r>
  <r>
    <n v="437"/>
    <n v="19"/>
    <x v="0"/>
    <x v="0"/>
    <x v="2"/>
    <n v="7.9"/>
    <x v="0"/>
    <x v="0"/>
    <n v="4.4000000000000004"/>
    <n v="5"/>
    <s v="In Relationship"/>
    <n v="9"/>
    <x v="0"/>
    <x v="2"/>
    <x v="0"/>
    <s v="Poor"/>
    <n v="1"/>
    <s v="Average"/>
    <n v="0.5787234042553191"/>
    <n v="0.64255319148936174"/>
    <n v="6.868936170212768"/>
    <n v="6.2269503546099294"/>
  </r>
  <r>
    <n v="438"/>
    <n v="21"/>
    <x v="1"/>
    <x v="1"/>
    <x v="13"/>
    <n v="6.7"/>
    <x v="10"/>
    <x v="0"/>
    <n v="5.5"/>
    <n v="6"/>
    <s v="Single"/>
    <n v="7"/>
    <x v="0"/>
    <x v="2"/>
    <x v="0"/>
    <s v="Poor"/>
    <n v="1"/>
    <s v="Average"/>
    <n v="0.5787234042553191"/>
    <n v="0.64255319148936174"/>
    <n v="6.868936170212768"/>
    <n v="6.2269503546099294"/>
  </r>
  <r>
    <n v="439"/>
    <n v="20"/>
    <x v="0"/>
    <x v="0"/>
    <x v="10"/>
    <n v="3.4"/>
    <x v="0"/>
    <x v="1"/>
    <n v="8.6"/>
    <n v="7"/>
    <s v="In Relationship"/>
    <n v="5"/>
    <x v="0"/>
    <x v="1"/>
    <x v="2"/>
    <s v="Healthy"/>
    <n v="0"/>
    <s v="Good"/>
    <n v="0.5787234042553191"/>
    <n v="0.64255319148936174"/>
    <n v="6.868936170212768"/>
    <n v="6.2269503546099294"/>
  </r>
  <r>
    <n v="440"/>
    <n v="22"/>
    <x v="1"/>
    <x v="1"/>
    <x v="4"/>
    <n v="4.2"/>
    <x v="2"/>
    <x v="0"/>
    <n v="8"/>
    <n v="6"/>
    <s v="Single"/>
    <n v="7"/>
    <x v="1"/>
    <x v="0"/>
    <x v="0"/>
    <s v="Healthy"/>
    <n v="1"/>
    <s v="Average"/>
    <n v="0.5787234042553191"/>
    <n v="0.64255319148936174"/>
    <n v="6.868936170212768"/>
    <n v="6.2269503546099294"/>
  </r>
  <r>
    <n v="441"/>
    <n v="19"/>
    <x v="0"/>
    <x v="0"/>
    <x v="11"/>
    <n v="4"/>
    <x v="0"/>
    <x v="0"/>
    <n v="7.9"/>
    <n v="6"/>
    <s v="Single"/>
    <n v="7"/>
    <x v="0"/>
    <x v="0"/>
    <x v="0"/>
    <s v="Healthy"/>
    <n v="1"/>
    <s v="Average"/>
    <n v="0.5787234042553191"/>
    <n v="0.64255319148936174"/>
    <n v="6.868936170212768"/>
    <n v="6.2269503546099294"/>
  </r>
  <r>
    <n v="442"/>
    <n v="21"/>
    <x v="1"/>
    <x v="1"/>
    <x v="18"/>
    <n v="2.8"/>
    <x v="4"/>
    <x v="1"/>
    <n v="9"/>
    <n v="8"/>
    <s v="In Relationship"/>
    <n v="4"/>
    <x v="0"/>
    <x v="1"/>
    <x v="2"/>
    <s v="Healthy"/>
    <n v="0"/>
    <s v="Good"/>
    <n v="0.5787234042553191"/>
    <n v="0.64255319148936174"/>
    <n v="6.868936170212768"/>
    <n v="6.2269503546099294"/>
  </r>
  <r>
    <n v="443"/>
    <n v="20"/>
    <x v="0"/>
    <x v="0"/>
    <x v="25"/>
    <n v="3.7"/>
    <x v="2"/>
    <x v="0"/>
    <n v="8.1999999999999993"/>
    <n v="7"/>
    <s v="Single"/>
    <n v="6"/>
    <x v="0"/>
    <x v="1"/>
    <x v="2"/>
    <s v="Healthy"/>
    <n v="1"/>
    <s v="Good"/>
    <n v="0.5787234042553191"/>
    <n v="0.64255319148936174"/>
    <n v="6.868936170212768"/>
    <n v="6.2269503546099294"/>
  </r>
  <r>
    <n v="444"/>
    <n v="22"/>
    <x v="1"/>
    <x v="1"/>
    <x v="1"/>
    <n v="7"/>
    <x v="10"/>
    <x v="0"/>
    <n v="5.3"/>
    <n v="5"/>
    <s v="In Relationship"/>
    <n v="8"/>
    <x v="1"/>
    <x v="2"/>
    <x v="0"/>
    <s v="Poor"/>
    <n v="1"/>
    <s v="Average"/>
    <n v="0.5787234042553191"/>
    <n v="0.64255319148936174"/>
    <n v="6.868936170212768"/>
    <n v="6.2269503546099294"/>
  </r>
  <r>
    <n v="445"/>
    <n v="19"/>
    <x v="0"/>
    <x v="0"/>
    <x v="21"/>
    <n v="2.7"/>
    <x v="0"/>
    <x v="1"/>
    <n v="9.1"/>
    <n v="8"/>
    <s v="Single"/>
    <n v="4"/>
    <x v="0"/>
    <x v="1"/>
    <x v="2"/>
    <s v="Healthy"/>
    <n v="0"/>
    <s v="Good"/>
    <n v="0.5787234042553191"/>
    <n v="0.64255319148936174"/>
    <n v="6.868936170212768"/>
    <n v="6.2269503546099294"/>
  </r>
  <r>
    <n v="446"/>
    <n v="21"/>
    <x v="1"/>
    <x v="1"/>
    <x v="35"/>
    <n v="4.3"/>
    <x v="0"/>
    <x v="0"/>
    <n v="7.9"/>
    <n v="6"/>
    <s v="Single"/>
    <n v="7"/>
    <x v="0"/>
    <x v="0"/>
    <x v="0"/>
    <s v="Healthy"/>
    <n v="1"/>
    <s v="Average"/>
    <n v="0.5787234042553191"/>
    <n v="0.64255319148936174"/>
    <n v="6.868936170212768"/>
    <n v="6.2269503546099294"/>
  </r>
  <r>
    <n v="447"/>
    <n v="20"/>
    <x v="0"/>
    <x v="0"/>
    <x v="2"/>
    <n v="8"/>
    <x v="2"/>
    <x v="0"/>
    <n v="4.3"/>
    <n v="5"/>
    <s v="In Relationship"/>
    <n v="9"/>
    <x v="0"/>
    <x v="2"/>
    <x v="0"/>
    <s v="Poor"/>
    <n v="1"/>
    <s v="Average"/>
    <n v="0.5787234042553191"/>
    <n v="0.64255319148936174"/>
    <n v="6.868936170212768"/>
    <n v="6.2269503546099294"/>
  </r>
  <r>
    <n v="448"/>
    <n v="22"/>
    <x v="1"/>
    <x v="1"/>
    <x v="13"/>
    <n v="6.8"/>
    <x v="10"/>
    <x v="0"/>
    <n v="5.4"/>
    <n v="6"/>
    <s v="Single"/>
    <n v="7"/>
    <x v="1"/>
    <x v="2"/>
    <x v="0"/>
    <s v="Poor"/>
    <n v="1"/>
    <s v="Average"/>
    <n v="0.5787234042553191"/>
    <n v="0.64255319148936174"/>
    <n v="6.868936170212768"/>
    <n v="6.2269503546099294"/>
  </r>
  <r>
    <n v="449"/>
    <n v="19"/>
    <x v="0"/>
    <x v="0"/>
    <x v="10"/>
    <n v="3.3"/>
    <x v="0"/>
    <x v="1"/>
    <n v="8.6999999999999993"/>
    <n v="7"/>
    <s v="In Relationship"/>
    <n v="5"/>
    <x v="0"/>
    <x v="1"/>
    <x v="2"/>
    <s v="Healthy"/>
    <n v="0"/>
    <s v="Good"/>
    <n v="0.5787234042553191"/>
    <n v="0.64255319148936174"/>
    <n v="6.868936170212768"/>
    <n v="6.2269503546099294"/>
  </r>
  <r>
    <n v="450"/>
    <n v="21"/>
    <x v="1"/>
    <x v="1"/>
    <x v="4"/>
    <n v="4.0999999999999996"/>
    <x v="0"/>
    <x v="0"/>
    <n v="8.1"/>
    <n v="6"/>
    <s v="Single"/>
    <n v="7"/>
    <x v="0"/>
    <x v="0"/>
    <x v="0"/>
    <s v="Healthy"/>
    <n v="1"/>
    <s v="Average"/>
    <n v="0.5787234042553191"/>
    <n v="0.64255319148936174"/>
    <n v="6.868936170212768"/>
    <n v="6.2269503546099294"/>
  </r>
  <r>
    <n v="451"/>
    <n v="20"/>
    <x v="0"/>
    <x v="0"/>
    <x v="11"/>
    <n v="3.9"/>
    <x v="2"/>
    <x v="0"/>
    <n v="8"/>
    <n v="6"/>
    <s v="Single"/>
    <n v="7"/>
    <x v="0"/>
    <x v="1"/>
    <x v="0"/>
    <s v="Healthy"/>
    <n v="1"/>
    <s v="Average"/>
    <n v="0.5787234042553191"/>
    <n v="0.64255319148936174"/>
    <n v="6.868936170212768"/>
    <n v="6.2269503546099294"/>
  </r>
  <r>
    <n v="452"/>
    <n v="22"/>
    <x v="1"/>
    <x v="1"/>
    <x v="18"/>
    <n v="2.7"/>
    <x v="4"/>
    <x v="1"/>
    <n v="9.1"/>
    <n v="8"/>
    <s v="In Relationship"/>
    <n v="4"/>
    <x v="1"/>
    <x v="1"/>
    <x v="2"/>
    <s v="Healthy"/>
    <n v="0"/>
    <s v="Good"/>
    <n v="0.5787234042553191"/>
    <n v="0.64255319148936174"/>
    <n v="6.868936170212768"/>
    <n v="6.2269503546099294"/>
  </r>
  <r>
    <n v="453"/>
    <n v="19"/>
    <x v="0"/>
    <x v="0"/>
    <x v="25"/>
    <n v="3.6"/>
    <x v="0"/>
    <x v="0"/>
    <n v="8.3000000000000007"/>
    <n v="7"/>
    <s v="Single"/>
    <n v="6"/>
    <x v="0"/>
    <x v="1"/>
    <x v="2"/>
    <s v="Healthy"/>
    <n v="1"/>
    <s v="Good"/>
    <n v="0.5787234042553191"/>
    <n v="0.64255319148936174"/>
    <n v="6.868936170212768"/>
    <n v="6.2269503546099294"/>
  </r>
  <r>
    <n v="454"/>
    <n v="21"/>
    <x v="1"/>
    <x v="1"/>
    <x v="1"/>
    <n v="7.1"/>
    <x v="10"/>
    <x v="0"/>
    <n v="5.2"/>
    <n v="5"/>
    <s v="In Relationship"/>
    <n v="8"/>
    <x v="0"/>
    <x v="2"/>
    <x v="0"/>
    <s v="Poor"/>
    <n v="1"/>
    <s v="Average"/>
    <n v="0.5787234042553191"/>
    <n v="0.64255319148936174"/>
    <n v="6.868936170212768"/>
    <n v="6.2269503546099294"/>
  </r>
  <r>
    <n v="455"/>
    <n v="20"/>
    <x v="0"/>
    <x v="0"/>
    <x v="21"/>
    <n v="2.6"/>
    <x v="0"/>
    <x v="1"/>
    <n v="9.1999999999999993"/>
    <n v="8"/>
    <s v="Single"/>
    <n v="4"/>
    <x v="0"/>
    <x v="1"/>
    <x v="2"/>
    <s v="Healthy"/>
    <n v="0"/>
    <s v="Good"/>
    <n v="0.5787234042553191"/>
    <n v="0.64255319148936174"/>
    <n v="6.868936170212768"/>
    <n v="6.2269503546099294"/>
  </r>
  <r>
    <n v="456"/>
    <n v="22"/>
    <x v="1"/>
    <x v="1"/>
    <x v="35"/>
    <n v="4.2"/>
    <x v="2"/>
    <x v="0"/>
    <n v="8"/>
    <n v="6"/>
    <s v="Single"/>
    <n v="7"/>
    <x v="1"/>
    <x v="0"/>
    <x v="0"/>
    <s v="Healthy"/>
    <n v="1"/>
    <s v="Average"/>
    <n v="0.5787234042553191"/>
    <n v="0.64255319148936174"/>
    <n v="6.868936170212768"/>
    <n v="6.2269503546099294"/>
  </r>
  <r>
    <n v="457"/>
    <n v="19"/>
    <x v="0"/>
    <x v="0"/>
    <x v="2"/>
    <n v="8.1"/>
    <x v="0"/>
    <x v="0"/>
    <n v="4.2"/>
    <n v="5"/>
    <s v="In Relationship"/>
    <n v="9"/>
    <x v="0"/>
    <x v="2"/>
    <x v="0"/>
    <s v="Poor"/>
    <n v="1"/>
    <s v="Average"/>
    <n v="0.5787234042553191"/>
    <n v="0.64255319148936174"/>
    <n v="6.868936170212768"/>
    <n v="6.2269503546099294"/>
  </r>
  <r>
    <n v="458"/>
    <n v="21"/>
    <x v="1"/>
    <x v="1"/>
    <x v="13"/>
    <n v="6.9"/>
    <x v="10"/>
    <x v="0"/>
    <n v="5.3"/>
    <n v="6"/>
    <s v="Single"/>
    <n v="7"/>
    <x v="0"/>
    <x v="2"/>
    <x v="0"/>
    <s v="Poor"/>
    <n v="1"/>
    <s v="Average"/>
    <n v="0.5787234042553191"/>
    <n v="0.64255319148936174"/>
    <n v="6.868936170212768"/>
    <n v="6.2269503546099294"/>
  </r>
  <r>
    <n v="459"/>
    <n v="20"/>
    <x v="0"/>
    <x v="0"/>
    <x v="10"/>
    <n v="3.2"/>
    <x v="0"/>
    <x v="1"/>
    <n v="8.8000000000000007"/>
    <n v="7"/>
    <s v="In Relationship"/>
    <n v="5"/>
    <x v="0"/>
    <x v="1"/>
    <x v="2"/>
    <s v="Healthy"/>
    <n v="0"/>
    <s v="Good"/>
    <n v="0.5787234042553191"/>
    <n v="0.64255319148936174"/>
    <n v="6.868936170212768"/>
    <n v="6.2269503546099294"/>
  </r>
  <r>
    <n v="460"/>
    <n v="22"/>
    <x v="1"/>
    <x v="1"/>
    <x v="4"/>
    <n v="4"/>
    <x v="2"/>
    <x v="0"/>
    <n v="8.1999999999999993"/>
    <n v="6"/>
    <s v="Single"/>
    <n v="7"/>
    <x v="1"/>
    <x v="0"/>
    <x v="0"/>
    <s v="Healthy"/>
    <n v="1"/>
    <s v="Average"/>
    <n v="0.5787234042553191"/>
    <n v="0.64255319148936174"/>
    <n v="6.868936170212768"/>
    <n v="6.2269503546099294"/>
  </r>
  <r>
    <n v="461"/>
    <n v="19"/>
    <x v="0"/>
    <x v="0"/>
    <x v="11"/>
    <n v="3.8"/>
    <x v="0"/>
    <x v="0"/>
    <n v="8.1"/>
    <n v="6"/>
    <s v="Single"/>
    <n v="7"/>
    <x v="0"/>
    <x v="1"/>
    <x v="0"/>
    <s v="Healthy"/>
    <n v="1"/>
    <s v="Average"/>
    <n v="0.5787234042553191"/>
    <n v="0.64255319148936174"/>
    <n v="6.868936170212768"/>
    <n v="6.2269503546099294"/>
  </r>
  <r>
    <n v="462"/>
    <n v="21"/>
    <x v="1"/>
    <x v="1"/>
    <x v="18"/>
    <n v="2.6"/>
    <x v="4"/>
    <x v="1"/>
    <n v="9.1999999999999993"/>
    <n v="8"/>
    <s v="In Relationship"/>
    <n v="4"/>
    <x v="0"/>
    <x v="1"/>
    <x v="2"/>
    <s v="Healthy"/>
    <n v="0"/>
    <s v="Good"/>
    <n v="0.5787234042553191"/>
    <n v="0.64255319148936174"/>
    <n v="6.868936170212768"/>
    <n v="6.2269503546099294"/>
  </r>
  <r>
    <n v="463"/>
    <n v="20"/>
    <x v="0"/>
    <x v="0"/>
    <x v="25"/>
    <n v="3.5"/>
    <x v="2"/>
    <x v="0"/>
    <n v="8.4"/>
    <n v="7"/>
    <s v="Single"/>
    <n v="6"/>
    <x v="0"/>
    <x v="1"/>
    <x v="2"/>
    <s v="Healthy"/>
    <n v="1"/>
    <s v="Good"/>
    <n v="0.5787234042553191"/>
    <n v="0.64255319148936174"/>
    <n v="6.868936170212768"/>
    <n v="6.2269503546099294"/>
  </r>
  <r>
    <n v="464"/>
    <n v="22"/>
    <x v="1"/>
    <x v="1"/>
    <x v="1"/>
    <n v="7.2"/>
    <x v="10"/>
    <x v="0"/>
    <n v="5.0999999999999996"/>
    <n v="5"/>
    <s v="In Relationship"/>
    <n v="8"/>
    <x v="1"/>
    <x v="2"/>
    <x v="0"/>
    <s v="Poor"/>
    <n v="1"/>
    <s v="Average"/>
    <n v="0.5787234042553191"/>
    <n v="0.64255319148936174"/>
    <n v="6.868936170212768"/>
    <n v="6.2269503546099294"/>
  </r>
  <r>
    <n v="465"/>
    <n v="19"/>
    <x v="0"/>
    <x v="0"/>
    <x v="21"/>
    <n v="2.5"/>
    <x v="0"/>
    <x v="1"/>
    <n v="9.3000000000000007"/>
    <n v="8"/>
    <s v="Single"/>
    <n v="4"/>
    <x v="0"/>
    <x v="1"/>
    <x v="2"/>
    <s v="Healthy"/>
    <n v="0"/>
    <s v="Good"/>
    <n v="0.5787234042553191"/>
    <n v="0.64255319148936174"/>
    <n v="6.868936170212768"/>
    <n v="6.2269503546099294"/>
  </r>
  <r>
    <n v="466"/>
    <n v="21"/>
    <x v="1"/>
    <x v="1"/>
    <x v="35"/>
    <n v="4.0999999999999996"/>
    <x v="0"/>
    <x v="0"/>
    <n v="8.1"/>
    <n v="6"/>
    <s v="Single"/>
    <n v="7"/>
    <x v="0"/>
    <x v="0"/>
    <x v="0"/>
    <s v="Healthy"/>
    <n v="1"/>
    <s v="Average"/>
    <n v="0.5787234042553191"/>
    <n v="0.64255319148936174"/>
    <n v="6.868936170212768"/>
    <n v="6.2269503546099294"/>
  </r>
  <r>
    <n v="467"/>
    <n v="20"/>
    <x v="0"/>
    <x v="0"/>
    <x v="2"/>
    <n v="8.1999999999999993"/>
    <x v="2"/>
    <x v="0"/>
    <n v="4.0999999999999996"/>
    <n v="5"/>
    <s v="In Relationship"/>
    <n v="9"/>
    <x v="0"/>
    <x v="2"/>
    <x v="0"/>
    <s v="Poor"/>
    <n v="1"/>
    <s v="Average"/>
    <n v="0.5787234042553191"/>
    <n v="0.64255319148936174"/>
    <n v="6.868936170212768"/>
    <n v="6.2269503546099294"/>
  </r>
  <r>
    <n v="468"/>
    <n v="22"/>
    <x v="1"/>
    <x v="1"/>
    <x v="13"/>
    <n v="7"/>
    <x v="10"/>
    <x v="0"/>
    <n v="5.2"/>
    <n v="6"/>
    <s v="Single"/>
    <n v="7"/>
    <x v="1"/>
    <x v="2"/>
    <x v="0"/>
    <s v="Poor"/>
    <n v="1"/>
    <s v="Average"/>
    <n v="0.5787234042553191"/>
    <n v="0.64255319148936174"/>
    <n v="6.868936170212768"/>
    <n v="6.2269503546099294"/>
  </r>
  <r>
    <n v="469"/>
    <n v="19"/>
    <x v="0"/>
    <x v="0"/>
    <x v="10"/>
    <n v="3.1"/>
    <x v="0"/>
    <x v="1"/>
    <n v="8.9"/>
    <n v="7"/>
    <s v="In Relationship"/>
    <n v="5"/>
    <x v="0"/>
    <x v="1"/>
    <x v="2"/>
    <s v="Healthy"/>
    <n v="0"/>
    <s v="Good"/>
    <n v="0.5787234042553191"/>
    <n v="0.64255319148936174"/>
    <n v="6.868936170212768"/>
    <n v="6.2269503546099294"/>
  </r>
  <r>
    <n v="470"/>
    <n v="21"/>
    <x v="1"/>
    <x v="1"/>
    <x v="4"/>
    <n v="3.9"/>
    <x v="0"/>
    <x v="0"/>
    <n v="8.3000000000000007"/>
    <n v="6"/>
    <s v="Single"/>
    <n v="7"/>
    <x v="0"/>
    <x v="1"/>
    <x v="0"/>
    <s v="Healthy"/>
    <n v="1"/>
    <s v="Average"/>
    <n v="0.5787234042553191"/>
    <n v="0.64255319148936174"/>
    <n v="6.868936170212768"/>
    <n v="6.2269503546099294"/>
  </r>
  <r>
    <n v="471"/>
    <n v="20"/>
    <x v="0"/>
    <x v="0"/>
    <x v="11"/>
    <n v="3.7"/>
    <x v="2"/>
    <x v="0"/>
    <n v="8.1999999999999993"/>
    <n v="6"/>
    <s v="Single"/>
    <n v="7"/>
    <x v="0"/>
    <x v="1"/>
    <x v="0"/>
    <s v="Healthy"/>
    <n v="1"/>
    <s v="Average"/>
    <n v="0.5787234042553191"/>
    <n v="0.64255319148936174"/>
    <n v="6.868936170212768"/>
    <n v="6.2269503546099294"/>
  </r>
  <r>
    <n v="472"/>
    <n v="22"/>
    <x v="1"/>
    <x v="1"/>
    <x v="18"/>
    <n v="2.5"/>
    <x v="4"/>
    <x v="1"/>
    <n v="9.3000000000000007"/>
    <n v="8"/>
    <s v="In Relationship"/>
    <n v="4"/>
    <x v="1"/>
    <x v="1"/>
    <x v="2"/>
    <s v="Healthy"/>
    <n v="0"/>
    <s v="Good"/>
    <n v="0.5787234042553191"/>
    <n v="0.64255319148936174"/>
    <n v="6.868936170212768"/>
    <n v="6.2269503546099294"/>
  </r>
  <r>
    <n v="473"/>
    <n v="19"/>
    <x v="0"/>
    <x v="0"/>
    <x v="25"/>
    <n v="3.4"/>
    <x v="0"/>
    <x v="0"/>
    <n v="8.5"/>
    <n v="7"/>
    <s v="Single"/>
    <n v="6"/>
    <x v="0"/>
    <x v="1"/>
    <x v="2"/>
    <s v="Healthy"/>
    <n v="1"/>
    <s v="Good"/>
    <n v="0.5787234042553191"/>
    <n v="0.64255319148936174"/>
    <n v="6.868936170212768"/>
    <n v="6.2269503546099294"/>
  </r>
  <r>
    <n v="474"/>
    <n v="21"/>
    <x v="1"/>
    <x v="1"/>
    <x v="1"/>
    <n v="7.3"/>
    <x v="10"/>
    <x v="0"/>
    <n v="5"/>
    <n v="5"/>
    <s v="In Relationship"/>
    <n v="8"/>
    <x v="0"/>
    <x v="2"/>
    <x v="0"/>
    <s v="Poor"/>
    <n v="1"/>
    <s v="Average"/>
    <n v="0.5787234042553191"/>
    <n v="0.64255319148936174"/>
    <n v="6.868936170212768"/>
    <n v="6.2269503546099294"/>
  </r>
  <r>
    <n v="475"/>
    <n v="20"/>
    <x v="0"/>
    <x v="0"/>
    <x v="21"/>
    <n v="2.4"/>
    <x v="0"/>
    <x v="1"/>
    <n v="9.4"/>
    <n v="8"/>
    <s v="Single"/>
    <n v="4"/>
    <x v="0"/>
    <x v="1"/>
    <x v="2"/>
    <s v="Healthy"/>
    <n v="0"/>
    <s v="Good"/>
    <n v="0.5787234042553191"/>
    <n v="0.64255319148936174"/>
    <n v="6.868936170212768"/>
    <n v="6.2269503546099294"/>
  </r>
  <r>
    <n v="476"/>
    <n v="22"/>
    <x v="1"/>
    <x v="1"/>
    <x v="35"/>
    <n v="4"/>
    <x v="2"/>
    <x v="0"/>
    <n v="8.1999999999999993"/>
    <n v="6"/>
    <s v="Single"/>
    <n v="7"/>
    <x v="1"/>
    <x v="0"/>
    <x v="0"/>
    <s v="Healthy"/>
    <n v="1"/>
    <s v="Average"/>
    <n v="0.5787234042553191"/>
    <n v="0.64255319148936174"/>
    <n v="6.868936170212768"/>
    <n v="6.2269503546099294"/>
  </r>
  <r>
    <n v="477"/>
    <n v="19"/>
    <x v="0"/>
    <x v="0"/>
    <x v="2"/>
    <n v="8.3000000000000007"/>
    <x v="0"/>
    <x v="0"/>
    <n v="4"/>
    <n v="5"/>
    <s v="In Relationship"/>
    <n v="9"/>
    <x v="0"/>
    <x v="2"/>
    <x v="0"/>
    <s v="Poor"/>
    <n v="1"/>
    <s v="Average"/>
    <n v="0.5787234042553191"/>
    <n v="0.64255319148936174"/>
    <n v="6.868936170212768"/>
    <n v="6.2269503546099294"/>
  </r>
  <r>
    <n v="478"/>
    <n v="21"/>
    <x v="1"/>
    <x v="1"/>
    <x v="13"/>
    <n v="7.1"/>
    <x v="10"/>
    <x v="0"/>
    <n v="5.0999999999999996"/>
    <n v="6"/>
    <s v="Single"/>
    <n v="7"/>
    <x v="0"/>
    <x v="2"/>
    <x v="0"/>
    <s v="Poor"/>
    <n v="1"/>
    <s v="Average"/>
    <n v="0.5787234042553191"/>
    <n v="0.64255319148936174"/>
    <n v="6.868936170212768"/>
    <n v="6.2269503546099294"/>
  </r>
  <r>
    <n v="479"/>
    <n v="20"/>
    <x v="0"/>
    <x v="0"/>
    <x v="10"/>
    <n v="3"/>
    <x v="0"/>
    <x v="1"/>
    <n v="9"/>
    <n v="7"/>
    <s v="In Relationship"/>
    <n v="5"/>
    <x v="0"/>
    <x v="1"/>
    <x v="2"/>
    <s v="Healthy"/>
    <n v="0"/>
    <s v="Good"/>
    <n v="0.5787234042553191"/>
    <n v="0.64255319148936174"/>
    <n v="6.868936170212768"/>
    <n v="6.2269503546099294"/>
  </r>
  <r>
    <n v="480"/>
    <n v="22"/>
    <x v="1"/>
    <x v="1"/>
    <x v="4"/>
    <n v="3.8"/>
    <x v="2"/>
    <x v="0"/>
    <n v="8.4"/>
    <n v="6"/>
    <s v="Single"/>
    <n v="7"/>
    <x v="1"/>
    <x v="1"/>
    <x v="0"/>
    <s v="Healthy"/>
    <n v="1"/>
    <s v="Average"/>
    <n v="0.5787234042553191"/>
    <n v="0.64255319148936174"/>
    <n v="6.868936170212768"/>
    <n v="6.2269503546099294"/>
  </r>
  <r>
    <n v="481"/>
    <n v="19"/>
    <x v="0"/>
    <x v="0"/>
    <x v="11"/>
    <n v="3.6"/>
    <x v="0"/>
    <x v="0"/>
    <n v="8.3000000000000007"/>
    <n v="6"/>
    <s v="Single"/>
    <n v="7"/>
    <x v="0"/>
    <x v="1"/>
    <x v="0"/>
    <s v="Healthy"/>
    <n v="1"/>
    <s v="Average"/>
    <n v="0.5787234042553191"/>
    <n v="0.64255319148936174"/>
    <n v="6.868936170212768"/>
    <n v="6.2269503546099294"/>
  </r>
  <r>
    <n v="482"/>
    <n v="21"/>
    <x v="1"/>
    <x v="1"/>
    <x v="18"/>
    <n v="2.4"/>
    <x v="4"/>
    <x v="1"/>
    <n v="9.4"/>
    <n v="8"/>
    <s v="In Relationship"/>
    <n v="4"/>
    <x v="0"/>
    <x v="1"/>
    <x v="2"/>
    <s v="Healthy"/>
    <n v="0"/>
    <s v="Good"/>
    <n v="0.5787234042553191"/>
    <n v="0.64255319148936174"/>
    <n v="6.868936170212768"/>
    <n v="6.2269503546099294"/>
  </r>
  <r>
    <n v="483"/>
    <n v="20"/>
    <x v="0"/>
    <x v="0"/>
    <x v="25"/>
    <n v="3.3"/>
    <x v="2"/>
    <x v="0"/>
    <n v="8.6"/>
    <n v="7"/>
    <s v="Single"/>
    <n v="6"/>
    <x v="0"/>
    <x v="1"/>
    <x v="2"/>
    <s v="Healthy"/>
    <n v="1"/>
    <s v="Good"/>
    <n v="0.5787234042553191"/>
    <n v="0.64255319148936174"/>
    <n v="6.868936170212768"/>
    <n v="6.2269503546099294"/>
  </r>
  <r>
    <n v="484"/>
    <n v="22"/>
    <x v="1"/>
    <x v="1"/>
    <x v="1"/>
    <n v="7.4"/>
    <x v="10"/>
    <x v="0"/>
    <n v="4.9000000000000004"/>
    <n v="5"/>
    <s v="In Relationship"/>
    <n v="8"/>
    <x v="1"/>
    <x v="2"/>
    <x v="0"/>
    <s v="Poor"/>
    <n v="1"/>
    <s v="Average"/>
    <n v="0.5787234042553191"/>
    <n v="0.64255319148936174"/>
    <n v="6.868936170212768"/>
    <n v="6.2269503546099294"/>
  </r>
  <r>
    <n v="485"/>
    <n v="19"/>
    <x v="0"/>
    <x v="0"/>
    <x v="21"/>
    <n v="2.2999999999999998"/>
    <x v="0"/>
    <x v="1"/>
    <n v="9.5"/>
    <n v="8"/>
    <s v="Single"/>
    <n v="4"/>
    <x v="0"/>
    <x v="1"/>
    <x v="2"/>
    <s v="Healthy"/>
    <n v="0"/>
    <s v="Good"/>
    <n v="0.5787234042553191"/>
    <n v="0.64255319148936174"/>
    <n v="6.868936170212768"/>
    <n v="6.2269503546099294"/>
  </r>
  <r>
    <n v="486"/>
    <n v="21"/>
    <x v="1"/>
    <x v="1"/>
    <x v="35"/>
    <n v="3.9"/>
    <x v="0"/>
    <x v="0"/>
    <n v="8.3000000000000007"/>
    <n v="6"/>
    <s v="Single"/>
    <n v="7"/>
    <x v="0"/>
    <x v="1"/>
    <x v="0"/>
    <s v="Healthy"/>
    <n v="1"/>
    <s v="Average"/>
    <n v="0.5787234042553191"/>
    <n v="0.64255319148936174"/>
    <n v="6.868936170212768"/>
    <n v="6.2269503546099294"/>
  </r>
  <r>
    <n v="487"/>
    <n v="20"/>
    <x v="0"/>
    <x v="0"/>
    <x v="2"/>
    <n v="8.4"/>
    <x v="2"/>
    <x v="0"/>
    <n v="3.9"/>
    <n v="5"/>
    <s v="In Relationship"/>
    <n v="9"/>
    <x v="0"/>
    <x v="2"/>
    <x v="0"/>
    <s v="Poor"/>
    <n v="1"/>
    <s v="Average"/>
    <n v="0.5787234042553191"/>
    <n v="0.64255319148936174"/>
    <n v="6.868936170212768"/>
    <n v="6.2269503546099294"/>
  </r>
  <r>
    <n v="488"/>
    <n v="22"/>
    <x v="1"/>
    <x v="1"/>
    <x v="13"/>
    <n v="7.2"/>
    <x v="10"/>
    <x v="0"/>
    <n v="5"/>
    <n v="6"/>
    <s v="Single"/>
    <n v="7"/>
    <x v="1"/>
    <x v="2"/>
    <x v="0"/>
    <s v="Poor"/>
    <n v="1"/>
    <s v="Average"/>
    <n v="0.5787234042553191"/>
    <n v="0.64255319148936174"/>
    <n v="6.868936170212768"/>
    <n v="6.2269503546099294"/>
  </r>
  <r>
    <n v="489"/>
    <n v="19"/>
    <x v="0"/>
    <x v="0"/>
    <x v="10"/>
    <n v="2.9"/>
    <x v="0"/>
    <x v="1"/>
    <n v="9.1"/>
    <n v="7"/>
    <s v="In Relationship"/>
    <n v="5"/>
    <x v="0"/>
    <x v="1"/>
    <x v="2"/>
    <s v="Healthy"/>
    <n v="0"/>
    <s v="Good"/>
    <n v="0.5787234042553191"/>
    <n v="0.64255319148936174"/>
    <n v="6.868936170212768"/>
    <n v="6.2269503546099294"/>
  </r>
  <r>
    <n v="490"/>
    <n v="21"/>
    <x v="1"/>
    <x v="1"/>
    <x v="4"/>
    <n v="3.7"/>
    <x v="0"/>
    <x v="0"/>
    <n v="8.5"/>
    <n v="6"/>
    <s v="Single"/>
    <n v="7"/>
    <x v="0"/>
    <x v="1"/>
    <x v="0"/>
    <s v="Healthy"/>
    <n v="1"/>
    <s v="Average"/>
    <n v="0.5787234042553191"/>
    <n v="0.64255319148936174"/>
    <n v="6.868936170212768"/>
    <n v="6.2269503546099294"/>
  </r>
  <r>
    <n v="491"/>
    <n v="20"/>
    <x v="0"/>
    <x v="0"/>
    <x v="11"/>
    <n v="3.5"/>
    <x v="2"/>
    <x v="0"/>
    <n v="8.4"/>
    <n v="6"/>
    <s v="Single"/>
    <n v="7"/>
    <x v="0"/>
    <x v="1"/>
    <x v="0"/>
    <s v="Healthy"/>
    <n v="1"/>
    <s v="Average"/>
    <n v="0.5787234042553191"/>
    <n v="0.64255319148936174"/>
    <n v="6.868936170212768"/>
    <n v="6.2269503546099294"/>
  </r>
  <r>
    <n v="492"/>
    <n v="22"/>
    <x v="1"/>
    <x v="1"/>
    <x v="18"/>
    <n v="2.2999999999999998"/>
    <x v="4"/>
    <x v="1"/>
    <n v="9.5"/>
    <n v="8"/>
    <s v="In Relationship"/>
    <n v="4"/>
    <x v="1"/>
    <x v="1"/>
    <x v="2"/>
    <s v="Healthy"/>
    <n v="0"/>
    <s v="Good"/>
    <n v="0.5787234042553191"/>
    <n v="0.64255319148936174"/>
    <n v="6.868936170212768"/>
    <n v="6.2269503546099294"/>
  </r>
  <r>
    <n v="493"/>
    <n v="19"/>
    <x v="0"/>
    <x v="0"/>
    <x v="25"/>
    <n v="3.2"/>
    <x v="0"/>
    <x v="0"/>
    <n v="8.6999999999999993"/>
    <n v="7"/>
    <s v="Single"/>
    <n v="6"/>
    <x v="0"/>
    <x v="1"/>
    <x v="2"/>
    <s v="Healthy"/>
    <n v="1"/>
    <s v="Good"/>
    <n v="0.5787234042553191"/>
    <n v="0.64255319148936174"/>
    <n v="6.868936170212768"/>
    <n v="6.2269503546099294"/>
  </r>
  <r>
    <n v="494"/>
    <n v="21"/>
    <x v="1"/>
    <x v="1"/>
    <x v="1"/>
    <n v="7.5"/>
    <x v="10"/>
    <x v="0"/>
    <n v="4.8"/>
    <n v="5"/>
    <s v="In Relationship"/>
    <n v="8"/>
    <x v="0"/>
    <x v="2"/>
    <x v="0"/>
    <s v="Poor"/>
    <n v="1"/>
    <s v="Average"/>
    <n v="0.5787234042553191"/>
    <n v="0.64255319148936174"/>
    <n v="6.868936170212768"/>
    <n v="6.2269503546099294"/>
  </r>
  <r>
    <n v="495"/>
    <n v="20"/>
    <x v="0"/>
    <x v="0"/>
    <x v="21"/>
    <n v="2.2000000000000002"/>
    <x v="0"/>
    <x v="1"/>
    <n v="9.6"/>
    <n v="8"/>
    <s v="Single"/>
    <n v="4"/>
    <x v="0"/>
    <x v="1"/>
    <x v="2"/>
    <s v="Healthy"/>
    <n v="0"/>
    <s v="Good"/>
    <n v="0.5787234042553191"/>
    <n v="0.64255319148936174"/>
    <n v="6.868936170212768"/>
    <n v="6.2269503546099294"/>
  </r>
  <r>
    <n v="496"/>
    <n v="22"/>
    <x v="1"/>
    <x v="1"/>
    <x v="35"/>
    <n v="3.8"/>
    <x v="2"/>
    <x v="0"/>
    <n v="8.4"/>
    <n v="6"/>
    <s v="Single"/>
    <n v="7"/>
    <x v="1"/>
    <x v="1"/>
    <x v="0"/>
    <s v="Healthy"/>
    <n v="1"/>
    <s v="Average"/>
    <n v="0.5787234042553191"/>
    <n v="0.64255319148936174"/>
    <n v="6.868936170212768"/>
    <n v="6.2269503546099294"/>
  </r>
  <r>
    <n v="497"/>
    <n v="19"/>
    <x v="0"/>
    <x v="0"/>
    <x v="2"/>
    <n v="8.5"/>
    <x v="0"/>
    <x v="0"/>
    <n v="3.8"/>
    <n v="5"/>
    <s v="In Relationship"/>
    <n v="9"/>
    <x v="0"/>
    <x v="2"/>
    <x v="0"/>
    <s v="Poor"/>
    <n v="1"/>
    <s v="Average"/>
    <n v="0.5787234042553191"/>
    <n v="0.64255319148936174"/>
    <n v="6.868936170212768"/>
    <n v="6.2269503546099294"/>
  </r>
  <r>
    <n v="498"/>
    <n v="21"/>
    <x v="1"/>
    <x v="1"/>
    <x v="13"/>
    <n v="7.3"/>
    <x v="10"/>
    <x v="0"/>
    <n v="4.9000000000000004"/>
    <n v="6"/>
    <s v="Single"/>
    <n v="7"/>
    <x v="0"/>
    <x v="2"/>
    <x v="0"/>
    <s v="Poor"/>
    <n v="1"/>
    <s v="Average"/>
    <n v="0.5787234042553191"/>
    <n v="0.64255319148936174"/>
    <n v="6.868936170212768"/>
    <n v="6.2269503546099294"/>
  </r>
  <r>
    <n v="499"/>
    <n v="20"/>
    <x v="0"/>
    <x v="0"/>
    <x v="10"/>
    <n v="2.8"/>
    <x v="0"/>
    <x v="1"/>
    <n v="9.1999999999999993"/>
    <n v="7"/>
    <s v="In Relationship"/>
    <n v="5"/>
    <x v="0"/>
    <x v="1"/>
    <x v="2"/>
    <s v="Healthy"/>
    <n v="0"/>
    <s v="Good"/>
    <n v="0.5787234042553191"/>
    <n v="0.64255319148936174"/>
    <n v="6.868936170212768"/>
    <n v="6.2269503546099294"/>
  </r>
  <r>
    <n v="500"/>
    <n v="22"/>
    <x v="1"/>
    <x v="1"/>
    <x v="4"/>
    <n v="3.6"/>
    <x v="2"/>
    <x v="0"/>
    <n v="8.6"/>
    <n v="6"/>
    <s v="Single"/>
    <n v="7"/>
    <x v="1"/>
    <x v="1"/>
    <x v="0"/>
    <s v="Healthy"/>
    <n v="1"/>
    <s v="Average"/>
    <n v="0.5787234042553191"/>
    <n v="0.64255319148936174"/>
    <n v="6.868936170212768"/>
    <n v="6.2269503546099294"/>
  </r>
  <r>
    <n v="501"/>
    <n v="19"/>
    <x v="0"/>
    <x v="0"/>
    <x v="7"/>
    <n v="6.2"/>
    <x v="10"/>
    <x v="0"/>
    <n v="6.3"/>
    <n v="6"/>
    <s v="Single"/>
    <n v="7"/>
    <x v="0"/>
    <x v="2"/>
    <x v="0"/>
    <s v="Average"/>
    <n v="1"/>
    <s v="Average"/>
    <n v="0.5787234042553191"/>
    <n v="0.64255319148936174"/>
    <n v="6.868936170212768"/>
    <n v="6.2269503546099294"/>
  </r>
  <r>
    <n v="502"/>
    <n v="21"/>
    <x v="1"/>
    <x v="1"/>
    <x v="15"/>
    <n v="4.5"/>
    <x v="11"/>
    <x v="1"/>
    <n v="7.8"/>
    <n v="7"/>
    <s v="In Relationship"/>
    <n v="5"/>
    <x v="0"/>
    <x v="0"/>
    <x v="2"/>
    <s v="Healthy"/>
    <n v="0"/>
    <s v="Good"/>
    <n v="0.5787234042553191"/>
    <n v="0.64255319148936174"/>
    <n v="6.868936170212768"/>
    <n v="6.2269503546099294"/>
  </r>
  <r>
    <n v="503"/>
    <n v="20"/>
    <x v="0"/>
    <x v="0"/>
    <x v="19"/>
    <n v="3.8"/>
    <x v="0"/>
    <x v="1"/>
    <n v="8.1999999999999993"/>
    <n v="8"/>
    <s v="Single"/>
    <n v="4"/>
    <x v="0"/>
    <x v="1"/>
    <x v="2"/>
    <s v="Healthy"/>
    <n v="0"/>
    <s v="Good"/>
    <n v="0.5787234042553191"/>
    <n v="0.64255319148936174"/>
    <n v="6.868936170212768"/>
    <n v="6.2269503546099294"/>
  </r>
  <r>
    <n v="504"/>
    <n v="22"/>
    <x v="1"/>
    <x v="1"/>
    <x v="26"/>
    <n v="4.7"/>
    <x v="0"/>
    <x v="0"/>
    <n v="7.5"/>
    <n v="7"/>
    <s v="In Relationship"/>
    <n v="6"/>
    <x v="1"/>
    <x v="0"/>
    <x v="2"/>
    <s v="Healthy"/>
    <n v="1"/>
    <s v="Good"/>
    <n v="0.5787234042553191"/>
    <n v="0.64255319148936174"/>
    <n v="6.868936170212768"/>
    <n v="6.2269503546099294"/>
  </r>
  <r>
    <n v="505"/>
    <n v="19"/>
    <x v="0"/>
    <x v="0"/>
    <x v="27"/>
    <n v="5.0999999999999996"/>
    <x v="2"/>
    <x v="0"/>
    <n v="7"/>
    <n v="6"/>
    <s v="Single"/>
    <n v="7"/>
    <x v="0"/>
    <x v="0"/>
    <x v="0"/>
    <s v="Average"/>
    <n v="1"/>
    <s v="Average"/>
    <n v="0.5787234042553191"/>
    <n v="0.64255319148936174"/>
    <n v="6.868936170212768"/>
    <n v="6.2269503546099294"/>
  </r>
  <r>
    <n v="506"/>
    <n v="21"/>
    <x v="1"/>
    <x v="1"/>
    <x v="28"/>
    <n v="5.5"/>
    <x v="10"/>
    <x v="0"/>
    <n v="6.8"/>
    <n v="6"/>
    <s v="Single"/>
    <n v="7"/>
    <x v="0"/>
    <x v="0"/>
    <x v="0"/>
    <s v="Average"/>
    <n v="1"/>
    <s v="Average"/>
    <n v="0.5787234042553191"/>
    <n v="0.64255319148936174"/>
    <n v="6.868936170212768"/>
    <n v="6.2269503546099294"/>
  </r>
  <r>
    <n v="507"/>
    <n v="20"/>
    <x v="0"/>
    <x v="0"/>
    <x v="37"/>
    <n v="6.5"/>
    <x v="0"/>
    <x v="0"/>
    <n v="6.5"/>
    <n v="5"/>
    <s v="In Relationship"/>
    <n v="8"/>
    <x v="0"/>
    <x v="2"/>
    <x v="0"/>
    <s v="Average"/>
    <n v="1"/>
    <s v="Average"/>
    <n v="0.5787234042553191"/>
    <n v="0.64255319148936174"/>
    <n v="6.868936170212768"/>
    <n v="6.2269503546099294"/>
  </r>
  <r>
    <n v="508"/>
    <n v="22"/>
    <x v="1"/>
    <x v="1"/>
    <x v="60"/>
    <n v="4.2"/>
    <x v="4"/>
    <x v="1"/>
    <n v="7.9"/>
    <n v="7"/>
    <s v="Single"/>
    <n v="5"/>
    <x v="1"/>
    <x v="0"/>
    <x v="2"/>
    <s v="Healthy"/>
    <n v="0"/>
    <s v="Good"/>
    <n v="0.5787234042553191"/>
    <n v="0.64255319148936174"/>
    <n v="6.868936170212768"/>
    <n v="6.2269503546099294"/>
  </r>
  <r>
    <n v="509"/>
    <n v="19"/>
    <x v="0"/>
    <x v="0"/>
    <x v="1"/>
    <n v="6.8"/>
    <x v="10"/>
    <x v="0"/>
    <n v="6"/>
    <n v="5"/>
    <s v="In Relationship"/>
    <n v="8"/>
    <x v="0"/>
    <x v="2"/>
    <x v="0"/>
    <s v="Average"/>
    <n v="1"/>
    <s v="Average"/>
    <n v="0.5787234042553191"/>
    <n v="0.64255319148936174"/>
    <n v="6.868936170212768"/>
    <n v="6.2269503546099294"/>
  </r>
  <r>
    <n v="510"/>
    <n v="21"/>
    <x v="1"/>
    <x v="1"/>
    <x v="4"/>
    <n v="4.8"/>
    <x v="0"/>
    <x v="0"/>
    <n v="7.4"/>
    <n v="7"/>
    <s v="Single"/>
    <n v="6"/>
    <x v="0"/>
    <x v="0"/>
    <x v="2"/>
    <s v="Healthy"/>
    <n v="1"/>
    <s v="Good"/>
    <n v="0.5787234042553191"/>
    <n v="0.64255319148936174"/>
    <n v="6.868936170212768"/>
    <n v="6.2269503546099294"/>
  </r>
  <r>
    <n v="511"/>
    <n v="20"/>
    <x v="0"/>
    <x v="0"/>
    <x v="7"/>
    <n v="6.1"/>
    <x v="0"/>
    <x v="0"/>
    <n v="6.4"/>
    <n v="6"/>
    <s v="Single"/>
    <n v="7"/>
    <x v="0"/>
    <x v="2"/>
    <x v="0"/>
    <s v="Average"/>
    <n v="1"/>
    <s v="Average"/>
    <n v="0.5787234042553191"/>
    <n v="0.64255319148936174"/>
    <n v="6.868936170212768"/>
    <n v="6.2269503546099294"/>
  </r>
  <r>
    <n v="512"/>
    <n v="22"/>
    <x v="1"/>
    <x v="1"/>
    <x v="15"/>
    <n v="4.4000000000000004"/>
    <x v="11"/>
    <x v="1"/>
    <n v="7.9"/>
    <n v="7"/>
    <s v="In Relationship"/>
    <n v="5"/>
    <x v="1"/>
    <x v="0"/>
    <x v="2"/>
    <s v="Healthy"/>
    <n v="0"/>
    <s v="Good"/>
    <n v="0.5787234042553191"/>
    <n v="0.64255319148936174"/>
    <n v="6.868936170212768"/>
    <n v="6.2269503546099294"/>
  </r>
  <r>
    <n v="513"/>
    <n v="19"/>
    <x v="0"/>
    <x v="0"/>
    <x v="19"/>
    <n v="3.7"/>
    <x v="2"/>
    <x v="1"/>
    <n v="8.3000000000000007"/>
    <n v="8"/>
    <s v="Single"/>
    <n v="4"/>
    <x v="0"/>
    <x v="1"/>
    <x v="2"/>
    <s v="Healthy"/>
    <n v="0"/>
    <s v="Good"/>
    <n v="0.5787234042553191"/>
    <n v="0.64255319148936174"/>
    <n v="6.868936170212768"/>
    <n v="6.2269503546099294"/>
  </r>
  <r>
    <n v="514"/>
    <n v="21"/>
    <x v="1"/>
    <x v="1"/>
    <x v="26"/>
    <n v="4.5999999999999996"/>
    <x v="0"/>
    <x v="0"/>
    <n v="7.6"/>
    <n v="7"/>
    <s v="In Relationship"/>
    <n v="6"/>
    <x v="0"/>
    <x v="0"/>
    <x v="2"/>
    <s v="Healthy"/>
    <n v="1"/>
    <s v="Good"/>
    <n v="0.5787234042553191"/>
    <n v="0.64255319148936174"/>
    <n v="6.868936170212768"/>
    <n v="6.2269503546099294"/>
  </r>
  <r>
    <n v="515"/>
    <n v="20"/>
    <x v="0"/>
    <x v="0"/>
    <x v="27"/>
    <n v="5.2"/>
    <x v="2"/>
    <x v="0"/>
    <n v="6.9"/>
    <n v="6"/>
    <s v="Single"/>
    <n v="7"/>
    <x v="0"/>
    <x v="0"/>
    <x v="0"/>
    <s v="Average"/>
    <n v="1"/>
    <s v="Average"/>
    <n v="0.5787234042553191"/>
    <n v="0.64255319148936174"/>
    <n v="6.868936170212768"/>
    <n v="6.2269503546099294"/>
  </r>
  <r>
    <n v="516"/>
    <n v="22"/>
    <x v="1"/>
    <x v="1"/>
    <x v="28"/>
    <n v="5.6"/>
    <x v="10"/>
    <x v="0"/>
    <n v="6.7"/>
    <n v="6"/>
    <s v="Single"/>
    <n v="7"/>
    <x v="1"/>
    <x v="0"/>
    <x v="0"/>
    <s v="Average"/>
    <n v="1"/>
    <s v="Average"/>
    <n v="0.5787234042553191"/>
    <n v="0.64255319148936174"/>
    <n v="6.868936170212768"/>
    <n v="6.2269503546099294"/>
  </r>
  <r>
    <n v="517"/>
    <n v="19"/>
    <x v="0"/>
    <x v="0"/>
    <x v="37"/>
    <n v="6.6"/>
    <x v="0"/>
    <x v="0"/>
    <n v="6.4"/>
    <n v="5"/>
    <s v="In Relationship"/>
    <n v="8"/>
    <x v="0"/>
    <x v="2"/>
    <x v="0"/>
    <s v="Average"/>
    <n v="1"/>
    <s v="Average"/>
    <n v="0.5787234042553191"/>
    <n v="0.64255319148936174"/>
    <n v="6.868936170212768"/>
    <n v="6.2269503546099294"/>
  </r>
  <r>
    <n v="518"/>
    <n v="21"/>
    <x v="1"/>
    <x v="1"/>
    <x v="60"/>
    <n v="4.0999999999999996"/>
    <x v="4"/>
    <x v="1"/>
    <n v="8"/>
    <n v="7"/>
    <s v="Single"/>
    <n v="5"/>
    <x v="0"/>
    <x v="0"/>
    <x v="2"/>
    <s v="Healthy"/>
    <n v="0"/>
    <s v="Good"/>
    <n v="0.5787234042553191"/>
    <n v="0.64255319148936174"/>
    <n v="6.868936170212768"/>
    <n v="6.2269503546099294"/>
  </r>
  <r>
    <n v="519"/>
    <n v="20"/>
    <x v="0"/>
    <x v="0"/>
    <x v="1"/>
    <n v="6.9"/>
    <x v="10"/>
    <x v="0"/>
    <n v="5.9"/>
    <n v="5"/>
    <s v="In Relationship"/>
    <n v="8"/>
    <x v="0"/>
    <x v="2"/>
    <x v="0"/>
    <s v="Poor"/>
    <n v="1"/>
    <s v="Average"/>
    <n v="0.5787234042553191"/>
    <n v="0.64255319148936174"/>
    <n v="6.868936170212768"/>
    <n v="6.2269503546099294"/>
  </r>
  <r>
    <n v="520"/>
    <n v="22"/>
    <x v="1"/>
    <x v="1"/>
    <x v="4"/>
    <n v="4.7"/>
    <x v="2"/>
    <x v="0"/>
    <n v="7.5"/>
    <n v="7"/>
    <s v="Single"/>
    <n v="6"/>
    <x v="1"/>
    <x v="0"/>
    <x v="2"/>
    <s v="Healthy"/>
    <n v="1"/>
    <s v="Good"/>
    <n v="0.5787234042553191"/>
    <n v="0.64255319148936174"/>
    <n v="6.868936170212768"/>
    <n v="6.2269503546099294"/>
  </r>
  <r>
    <n v="521"/>
    <n v="19"/>
    <x v="0"/>
    <x v="0"/>
    <x v="7"/>
    <n v="6"/>
    <x v="10"/>
    <x v="0"/>
    <n v="6.5"/>
    <n v="6"/>
    <s v="Single"/>
    <n v="7"/>
    <x v="0"/>
    <x v="2"/>
    <x v="0"/>
    <s v="Average"/>
    <n v="1"/>
    <s v="Average"/>
    <n v="0.5787234042553191"/>
    <n v="0.64255319148936174"/>
    <n v="6.868936170212768"/>
    <n v="6.2269503546099294"/>
  </r>
  <r>
    <n v="522"/>
    <n v="21"/>
    <x v="1"/>
    <x v="1"/>
    <x v="15"/>
    <n v="4.3"/>
    <x v="11"/>
    <x v="1"/>
    <n v="8"/>
    <n v="7"/>
    <s v="In Relationship"/>
    <n v="5"/>
    <x v="0"/>
    <x v="0"/>
    <x v="2"/>
    <s v="Healthy"/>
    <n v="0"/>
    <s v="Good"/>
    <n v="0.5787234042553191"/>
    <n v="0.64255319148936174"/>
    <n v="6.868936170212768"/>
    <n v="6.2269503546099294"/>
  </r>
  <r>
    <n v="523"/>
    <n v="20"/>
    <x v="0"/>
    <x v="0"/>
    <x v="19"/>
    <n v="3.6"/>
    <x v="0"/>
    <x v="1"/>
    <n v="8.4"/>
    <n v="8"/>
    <s v="Single"/>
    <n v="4"/>
    <x v="0"/>
    <x v="1"/>
    <x v="2"/>
    <s v="Healthy"/>
    <n v="0"/>
    <s v="Good"/>
    <n v="0.5787234042553191"/>
    <n v="0.64255319148936174"/>
    <n v="6.868936170212768"/>
    <n v="6.2269503546099294"/>
  </r>
  <r>
    <n v="524"/>
    <n v="22"/>
    <x v="1"/>
    <x v="1"/>
    <x v="26"/>
    <n v="4.5"/>
    <x v="4"/>
    <x v="0"/>
    <n v="7.7"/>
    <n v="7"/>
    <s v="In Relationship"/>
    <n v="6"/>
    <x v="1"/>
    <x v="0"/>
    <x v="2"/>
    <s v="Healthy"/>
    <n v="1"/>
    <s v="Good"/>
    <n v="0.5787234042553191"/>
    <n v="0.64255319148936174"/>
    <n v="6.868936170212768"/>
    <n v="6.2269503546099294"/>
  </r>
  <r>
    <n v="525"/>
    <n v="19"/>
    <x v="0"/>
    <x v="0"/>
    <x v="27"/>
    <n v="5.3"/>
    <x v="2"/>
    <x v="0"/>
    <n v="6.8"/>
    <n v="6"/>
    <s v="Single"/>
    <n v="7"/>
    <x v="0"/>
    <x v="0"/>
    <x v="0"/>
    <s v="Average"/>
    <n v="1"/>
    <s v="Average"/>
    <n v="0.5787234042553191"/>
    <n v="0.64255319148936174"/>
    <n v="6.868936170212768"/>
    <n v="6.2269503546099294"/>
  </r>
  <r>
    <n v="526"/>
    <n v="21"/>
    <x v="1"/>
    <x v="1"/>
    <x v="28"/>
    <n v="5.7"/>
    <x v="10"/>
    <x v="0"/>
    <n v="6.6"/>
    <n v="6"/>
    <s v="Single"/>
    <n v="7"/>
    <x v="0"/>
    <x v="0"/>
    <x v="0"/>
    <s v="Average"/>
    <n v="1"/>
    <s v="Average"/>
    <n v="0.5787234042553191"/>
    <n v="0.64255319148936174"/>
    <n v="6.868936170212768"/>
    <n v="6.2269503546099294"/>
  </r>
  <r>
    <n v="527"/>
    <n v="20"/>
    <x v="0"/>
    <x v="0"/>
    <x v="37"/>
    <n v="6.7"/>
    <x v="0"/>
    <x v="0"/>
    <n v="6.3"/>
    <n v="5"/>
    <s v="In Relationship"/>
    <n v="8"/>
    <x v="0"/>
    <x v="2"/>
    <x v="0"/>
    <s v="Average"/>
    <n v="1"/>
    <s v="Average"/>
    <n v="0.5787234042553191"/>
    <n v="0.64255319148936174"/>
    <n v="6.868936170212768"/>
    <n v="6.2269503546099294"/>
  </r>
  <r>
    <n v="528"/>
    <n v="22"/>
    <x v="1"/>
    <x v="1"/>
    <x v="60"/>
    <n v="4"/>
    <x v="4"/>
    <x v="1"/>
    <n v="8.1"/>
    <n v="7"/>
    <s v="Single"/>
    <n v="5"/>
    <x v="1"/>
    <x v="0"/>
    <x v="2"/>
    <s v="Healthy"/>
    <n v="0"/>
    <s v="Good"/>
    <n v="0.5787234042553191"/>
    <n v="0.64255319148936174"/>
    <n v="6.868936170212768"/>
    <n v="6.2269503546099294"/>
  </r>
  <r>
    <n v="529"/>
    <n v="19"/>
    <x v="0"/>
    <x v="0"/>
    <x v="1"/>
    <n v="7"/>
    <x v="10"/>
    <x v="0"/>
    <n v="5.8"/>
    <n v="5"/>
    <s v="In Relationship"/>
    <n v="8"/>
    <x v="0"/>
    <x v="2"/>
    <x v="0"/>
    <s v="Poor"/>
    <n v="1"/>
    <s v="Average"/>
    <n v="0.5787234042553191"/>
    <n v="0.64255319148936174"/>
    <n v="6.868936170212768"/>
    <n v="6.2269503546099294"/>
  </r>
  <r>
    <n v="530"/>
    <n v="21"/>
    <x v="1"/>
    <x v="1"/>
    <x v="4"/>
    <n v="4.5999999999999996"/>
    <x v="0"/>
    <x v="0"/>
    <n v="7.6"/>
    <n v="7"/>
    <s v="Single"/>
    <n v="6"/>
    <x v="0"/>
    <x v="0"/>
    <x v="2"/>
    <s v="Healthy"/>
    <n v="1"/>
    <s v="Good"/>
    <n v="0.5787234042553191"/>
    <n v="0.64255319148936174"/>
    <n v="6.868936170212768"/>
    <n v="6.2269503546099294"/>
  </r>
  <r>
    <n v="531"/>
    <n v="20"/>
    <x v="0"/>
    <x v="0"/>
    <x v="7"/>
    <n v="5.9"/>
    <x v="2"/>
    <x v="0"/>
    <n v="6.6"/>
    <n v="6"/>
    <s v="Single"/>
    <n v="7"/>
    <x v="0"/>
    <x v="0"/>
    <x v="0"/>
    <s v="Average"/>
    <n v="1"/>
    <s v="Average"/>
    <n v="0.5787234042553191"/>
    <n v="0.64255319148936174"/>
    <n v="6.868936170212768"/>
    <n v="6.2269503546099294"/>
  </r>
  <r>
    <n v="532"/>
    <n v="22"/>
    <x v="1"/>
    <x v="1"/>
    <x v="15"/>
    <n v="4.2"/>
    <x v="11"/>
    <x v="1"/>
    <n v="8.1"/>
    <n v="7"/>
    <s v="In Relationship"/>
    <n v="5"/>
    <x v="1"/>
    <x v="0"/>
    <x v="2"/>
    <s v="Healthy"/>
    <n v="0"/>
    <s v="Good"/>
    <n v="0.5787234042553191"/>
    <n v="0.64255319148936174"/>
    <n v="6.868936170212768"/>
    <n v="6.2269503546099294"/>
  </r>
  <r>
    <n v="533"/>
    <n v="19"/>
    <x v="0"/>
    <x v="0"/>
    <x v="19"/>
    <n v="3.5"/>
    <x v="0"/>
    <x v="1"/>
    <n v="8.5"/>
    <n v="8"/>
    <s v="Single"/>
    <n v="4"/>
    <x v="0"/>
    <x v="1"/>
    <x v="2"/>
    <s v="Healthy"/>
    <n v="0"/>
    <s v="Good"/>
    <n v="0.5787234042553191"/>
    <n v="0.64255319148936174"/>
    <n v="6.868936170212768"/>
    <n v="6.2269503546099294"/>
  </r>
  <r>
    <n v="534"/>
    <n v="21"/>
    <x v="1"/>
    <x v="1"/>
    <x v="26"/>
    <n v="4.4000000000000004"/>
    <x v="4"/>
    <x v="0"/>
    <n v="7.8"/>
    <n v="7"/>
    <s v="In Relationship"/>
    <n v="6"/>
    <x v="0"/>
    <x v="0"/>
    <x v="2"/>
    <s v="Healthy"/>
    <n v="1"/>
    <s v="Good"/>
    <n v="0.5787234042553191"/>
    <n v="0.64255319148936174"/>
    <n v="6.868936170212768"/>
    <n v="6.2269503546099294"/>
  </r>
  <r>
    <n v="535"/>
    <n v="20"/>
    <x v="0"/>
    <x v="0"/>
    <x v="27"/>
    <n v="5.4"/>
    <x v="2"/>
    <x v="0"/>
    <n v="6.7"/>
    <n v="6"/>
    <s v="Single"/>
    <n v="7"/>
    <x v="0"/>
    <x v="0"/>
    <x v="0"/>
    <s v="Average"/>
    <n v="1"/>
    <s v="Average"/>
    <n v="0.5787234042553191"/>
    <n v="0.64255319148936174"/>
    <n v="6.868936170212768"/>
    <n v="6.2269503546099294"/>
  </r>
  <r>
    <n v="536"/>
    <n v="22"/>
    <x v="1"/>
    <x v="1"/>
    <x v="28"/>
    <n v="5.8"/>
    <x v="10"/>
    <x v="0"/>
    <n v="6.5"/>
    <n v="6"/>
    <s v="Single"/>
    <n v="7"/>
    <x v="1"/>
    <x v="0"/>
    <x v="0"/>
    <s v="Average"/>
    <n v="1"/>
    <s v="Average"/>
    <n v="0.5787234042553191"/>
    <n v="0.64255319148936174"/>
    <n v="6.868936170212768"/>
    <n v="6.2269503546099294"/>
  </r>
  <r>
    <n v="537"/>
    <n v="19"/>
    <x v="0"/>
    <x v="0"/>
    <x v="37"/>
    <n v="6.8"/>
    <x v="0"/>
    <x v="0"/>
    <n v="6.2"/>
    <n v="5"/>
    <s v="In Relationship"/>
    <n v="8"/>
    <x v="0"/>
    <x v="2"/>
    <x v="0"/>
    <s v="Average"/>
    <n v="1"/>
    <s v="Average"/>
    <n v="0.5787234042553191"/>
    <n v="0.64255319148936174"/>
    <n v="6.868936170212768"/>
    <n v="6.2269503546099294"/>
  </r>
  <r>
    <n v="538"/>
    <n v="21"/>
    <x v="1"/>
    <x v="1"/>
    <x v="60"/>
    <n v="3.9"/>
    <x v="4"/>
    <x v="1"/>
    <n v="8.1999999999999993"/>
    <n v="7"/>
    <s v="Single"/>
    <n v="5"/>
    <x v="0"/>
    <x v="1"/>
    <x v="2"/>
    <s v="Healthy"/>
    <n v="0"/>
    <s v="Good"/>
    <n v="0.5787234042553191"/>
    <n v="0.64255319148936174"/>
    <n v="6.868936170212768"/>
    <n v="6.2269503546099294"/>
  </r>
  <r>
    <n v="539"/>
    <n v="20"/>
    <x v="0"/>
    <x v="0"/>
    <x v="1"/>
    <n v="7.1"/>
    <x v="10"/>
    <x v="0"/>
    <n v="5.7"/>
    <n v="5"/>
    <s v="In Relationship"/>
    <n v="8"/>
    <x v="0"/>
    <x v="2"/>
    <x v="0"/>
    <s v="Poor"/>
    <n v="1"/>
    <s v="Average"/>
    <n v="0.5787234042553191"/>
    <n v="0.64255319148936174"/>
    <n v="6.868936170212768"/>
    <n v="6.2269503546099294"/>
  </r>
  <r>
    <n v="540"/>
    <n v="22"/>
    <x v="1"/>
    <x v="1"/>
    <x v="4"/>
    <n v="4.5"/>
    <x v="2"/>
    <x v="0"/>
    <n v="7.7"/>
    <n v="7"/>
    <s v="Single"/>
    <n v="6"/>
    <x v="1"/>
    <x v="0"/>
    <x v="2"/>
    <s v="Healthy"/>
    <n v="1"/>
    <s v="Good"/>
    <n v="0.5787234042553191"/>
    <n v="0.64255319148936174"/>
    <n v="6.868936170212768"/>
    <n v="6.2269503546099294"/>
  </r>
  <r>
    <n v="541"/>
    <n v="19"/>
    <x v="0"/>
    <x v="0"/>
    <x v="7"/>
    <n v="5.8"/>
    <x v="10"/>
    <x v="0"/>
    <n v="6.7"/>
    <n v="6"/>
    <s v="Single"/>
    <n v="7"/>
    <x v="0"/>
    <x v="0"/>
    <x v="0"/>
    <s v="Average"/>
    <n v="1"/>
    <s v="Average"/>
    <n v="0.5787234042553191"/>
    <n v="0.64255319148936174"/>
    <n v="6.868936170212768"/>
    <n v="6.2269503546099294"/>
  </r>
  <r>
    <n v="542"/>
    <n v="21"/>
    <x v="1"/>
    <x v="1"/>
    <x v="15"/>
    <n v="4.0999999999999996"/>
    <x v="11"/>
    <x v="1"/>
    <n v="8.1999999999999993"/>
    <n v="7"/>
    <s v="In Relationship"/>
    <n v="5"/>
    <x v="0"/>
    <x v="0"/>
    <x v="2"/>
    <s v="Healthy"/>
    <n v="0"/>
    <s v="Good"/>
    <n v="0.5787234042553191"/>
    <n v="0.64255319148936174"/>
    <n v="6.868936170212768"/>
    <n v="6.2269503546099294"/>
  </r>
  <r>
    <n v="543"/>
    <n v="20"/>
    <x v="0"/>
    <x v="0"/>
    <x v="19"/>
    <n v="3.4"/>
    <x v="0"/>
    <x v="1"/>
    <n v="8.6"/>
    <n v="8"/>
    <s v="Single"/>
    <n v="4"/>
    <x v="0"/>
    <x v="1"/>
    <x v="2"/>
    <s v="Healthy"/>
    <n v="0"/>
    <s v="Good"/>
    <n v="0.5787234042553191"/>
    <n v="0.64255319148936174"/>
    <n v="6.868936170212768"/>
    <n v="6.2269503546099294"/>
  </r>
  <r>
    <n v="544"/>
    <n v="22"/>
    <x v="1"/>
    <x v="1"/>
    <x v="26"/>
    <n v="4.3"/>
    <x v="0"/>
    <x v="0"/>
    <n v="7.9"/>
    <n v="7"/>
    <s v="In Relationship"/>
    <n v="6"/>
    <x v="1"/>
    <x v="0"/>
    <x v="2"/>
    <s v="Healthy"/>
    <n v="1"/>
    <s v="Good"/>
    <n v="0.5787234042553191"/>
    <n v="0.64255319148936174"/>
    <n v="6.868936170212768"/>
    <n v="6.2269503546099294"/>
  </r>
  <r>
    <n v="545"/>
    <n v="19"/>
    <x v="0"/>
    <x v="0"/>
    <x v="27"/>
    <n v="5.5"/>
    <x v="2"/>
    <x v="0"/>
    <n v="6.6"/>
    <n v="6"/>
    <s v="Single"/>
    <n v="7"/>
    <x v="0"/>
    <x v="0"/>
    <x v="0"/>
    <s v="Average"/>
    <n v="1"/>
    <s v="Average"/>
    <n v="0.5787234042553191"/>
    <n v="0.64255319148936174"/>
    <n v="6.868936170212768"/>
    <n v="6.2269503546099294"/>
  </r>
  <r>
    <n v="546"/>
    <n v="21"/>
    <x v="1"/>
    <x v="1"/>
    <x v="28"/>
    <n v="5.9"/>
    <x v="10"/>
    <x v="0"/>
    <n v="6.4"/>
    <n v="6"/>
    <s v="Single"/>
    <n v="7"/>
    <x v="0"/>
    <x v="0"/>
    <x v="0"/>
    <s v="Average"/>
    <n v="1"/>
    <s v="Average"/>
    <n v="0.5787234042553191"/>
    <n v="0.64255319148936174"/>
    <n v="6.868936170212768"/>
    <n v="6.2269503546099294"/>
  </r>
  <r>
    <n v="547"/>
    <n v="20"/>
    <x v="0"/>
    <x v="0"/>
    <x v="37"/>
    <n v="6.9"/>
    <x v="0"/>
    <x v="0"/>
    <n v="6.1"/>
    <n v="5"/>
    <s v="In Relationship"/>
    <n v="8"/>
    <x v="0"/>
    <x v="2"/>
    <x v="0"/>
    <s v="Average"/>
    <n v="1"/>
    <s v="Average"/>
    <n v="0.5787234042553191"/>
    <n v="0.64255319148936174"/>
    <n v="6.868936170212768"/>
    <n v="6.2269503546099294"/>
  </r>
  <r>
    <n v="548"/>
    <n v="22"/>
    <x v="1"/>
    <x v="1"/>
    <x v="60"/>
    <n v="3.8"/>
    <x v="4"/>
    <x v="1"/>
    <n v="8.3000000000000007"/>
    <n v="7"/>
    <s v="Single"/>
    <n v="5"/>
    <x v="1"/>
    <x v="1"/>
    <x v="2"/>
    <s v="Healthy"/>
    <n v="0"/>
    <s v="Good"/>
    <n v="0.5787234042553191"/>
    <n v="0.64255319148936174"/>
    <n v="6.868936170212768"/>
    <n v="6.2269503546099294"/>
  </r>
  <r>
    <n v="549"/>
    <n v="19"/>
    <x v="0"/>
    <x v="0"/>
    <x v="1"/>
    <n v="7.2"/>
    <x v="10"/>
    <x v="0"/>
    <n v="5.6"/>
    <n v="5"/>
    <s v="In Relationship"/>
    <n v="8"/>
    <x v="0"/>
    <x v="2"/>
    <x v="0"/>
    <s v="Poor"/>
    <n v="1"/>
    <s v="Average"/>
    <n v="0.5787234042553191"/>
    <n v="0.64255319148936174"/>
    <n v="6.868936170212768"/>
    <n v="6.2269503546099294"/>
  </r>
  <r>
    <n v="550"/>
    <n v="21"/>
    <x v="1"/>
    <x v="1"/>
    <x v="4"/>
    <n v="4.4000000000000004"/>
    <x v="0"/>
    <x v="0"/>
    <n v="7.8"/>
    <n v="7"/>
    <s v="Single"/>
    <n v="6"/>
    <x v="0"/>
    <x v="0"/>
    <x v="2"/>
    <s v="Healthy"/>
    <n v="1"/>
    <s v="Good"/>
    <n v="0.5787234042553191"/>
    <n v="0.64255319148936174"/>
    <n v="6.868936170212768"/>
    <n v="6.2269503546099294"/>
  </r>
  <r>
    <n v="551"/>
    <n v="20"/>
    <x v="0"/>
    <x v="0"/>
    <x v="7"/>
    <n v="5.7"/>
    <x v="2"/>
    <x v="0"/>
    <n v="6.8"/>
    <n v="6"/>
    <s v="Single"/>
    <n v="7"/>
    <x v="0"/>
    <x v="0"/>
    <x v="0"/>
    <s v="Average"/>
    <n v="1"/>
    <s v="Average"/>
    <n v="0.5787234042553191"/>
    <n v="0.64255319148936174"/>
    <n v="6.868936170212768"/>
    <n v="6.2269503546099294"/>
  </r>
  <r>
    <n v="552"/>
    <n v="22"/>
    <x v="1"/>
    <x v="1"/>
    <x v="15"/>
    <n v="4"/>
    <x v="11"/>
    <x v="1"/>
    <n v="8.3000000000000007"/>
    <n v="7"/>
    <s v="In Relationship"/>
    <n v="5"/>
    <x v="1"/>
    <x v="0"/>
    <x v="2"/>
    <s v="Healthy"/>
    <n v="0"/>
    <s v="Good"/>
    <n v="0.5787234042553191"/>
    <n v="0.64255319148936174"/>
    <n v="6.868936170212768"/>
    <n v="6.2269503546099294"/>
  </r>
  <r>
    <n v="553"/>
    <n v="19"/>
    <x v="0"/>
    <x v="0"/>
    <x v="19"/>
    <n v="3.3"/>
    <x v="0"/>
    <x v="1"/>
    <n v="8.6999999999999993"/>
    <n v="8"/>
    <s v="Single"/>
    <n v="4"/>
    <x v="0"/>
    <x v="1"/>
    <x v="2"/>
    <s v="Healthy"/>
    <n v="0"/>
    <s v="Good"/>
    <n v="0.5787234042553191"/>
    <n v="0.64255319148936174"/>
    <n v="6.868936170212768"/>
    <n v="6.2269503546099294"/>
  </r>
  <r>
    <n v="554"/>
    <n v="21"/>
    <x v="1"/>
    <x v="1"/>
    <x v="26"/>
    <n v="4.2"/>
    <x v="4"/>
    <x v="0"/>
    <n v="8"/>
    <n v="7"/>
    <s v="In Relationship"/>
    <n v="6"/>
    <x v="0"/>
    <x v="0"/>
    <x v="2"/>
    <s v="Healthy"/>
    <n v="1"/>
    <s v="Good"/>
    <n v="0.5787234042553191"/>
    <n v="0.64255319148936174"/>
    <n v="6.868936170212768"/>
    <n v="6.2269503546099294"/>
  </r>
  <r>
    <n v="555"/>
    <n v="20"/>
    <x v="0"/>
    <x v="0"/>
    <x v="27"/>
    <n v="5.6"/>
    <x v="2"/>
    <x v="0"/>
    <n v="6.5"/>
    <n v="6"/>
    <s v="Single"/>
    <n v="7"/>
    <x v="0"/>
    <x v="0"/>
    <x v="0"/>
    <s v="Average"/>
    <n v="1"/>
    <s v="Average"/>
    <n v="0.5787234042553191"/>
    <n v="0.64255319148936174"/>
    <n v="6.868936170212768"/>
    <n v="6.2269503546099294"/>
  </r>
  <r>
    <n v="556"/>
    <n v="22"/>
    <x v="1"/>
    <x v="1"/>
    <x v="28"/>
    <n v="6"/>
    <x v="10"/>
    <x v="0"/>
    <n v="6.3"/>
    <n v="6"/>
    <s v="Single"/>
    <n v="7"/>
    <x v="1"/>
    <x v="2"/>
    <x v="0"/>
    <s v="Average"/>
    <n v="1"/>
    <s v="Average"/>
    <n v="0.5787234042553191"/>
    <n v="0.64255319148936174"/>
    <n v="6.868936170212768"/>
    <n v="6.2269503546099294"/>
  </r>
  <r>
    <n v="557"/>
    <n v="19"/>
    <x v="0"/>
    <x v="0"/>
    <x v="37"/>
    <n v="7"/>
    <x v="0"/>
    <x v="0"/>
    <n v="6"/>
    <n v="5"/>
    <s v="In Relationship"/>
    <n v="8"/>
    <x v="0"/>
    <x v="2"/>
    <x v="0"/>
    <s v="Average"/>
    <n v="1"/>
    <s v="Average"/>
    <n v="0.5787234042553191"/>
    <n v="0.64255319148936174"/>
    <n v="6.868936170212768"/>
    <n v="6.2269503546099294"/>
  </r>
  <r>
    <n v="558"/>
    <n v="21"/>
    <x v="1"/>
    <x v="1"/>
    <x v="60"/>
    <n v="3.7"/>
    <x v="4"/>
    <x v="1"/>
    <n v="8.4"/>
    <n v="7"/>
    <s v="Single"/>
    <n v="5"/>
    <x v="0"/>
    <x v="1"/>
    <x v="2"/>
    <s v="Healthy"/>
    <n v="0"/>
    <s v="Good"/>
    <n v="0.5787234042553191"/>
    <n v="0.64255319148936174"/>
    <n v="6.868936170212768"/>
    <n v="6.2269503546099294"/>
  </r>
  <r>
    <n v="559"/>
    <n v="20"/>
    <x v="0"/>
    <x v="0"/>
    <x v="1"/>
    <n v="7.3"/>
    <x v="10"/>
    <x v="0"/>
    <n v="5.5"/>
    <n v="5"/>
    <s v="In Relationship"/>
    <n v="8"/>
    <x v="0"/>
    <x v="2"/>
    <x v="0"/>
    <s v="Poor"/>
    <n v="1"/>
    <s v="Average"/>
    <n v="0.5787234042553191"/>
    <n v="0.64255319148936174"/>
    <n v="6.868936170212768"/>
    <n v="6.2269503546099294"/>
  </r>
  <r>
    <n v="560"/>
    <n v="22"/>
    <x v="1"/>
    <x v="1"/>
    <x v="4"/>
    <n v="4.3"/>
    <x v="2"/>
    <x v="0"/>
    <n v="7.9"/>
    <n v="7"/>
    <s v="Single"/>
    <n v="6"/>
    <x v="1"/>
    <x v="0"/>
    <x v="2"/>
    <s v="Healthy"/>
    <n v="1"/>
    <s v="Good"/>
    <n v="0.5787234042553191"/>
    <n v="0.64255319148936174"/>
    <n v="6.868936170212768"/>
    <n v="6.2269503546099294"/>
  </r>
  <r>
    <n v="561"/>
    <n v="19"/>
    <x v="0"/>
    <x v="0"/>
    <x v="7"/>
    <n v="5.6"/>
    <x v="10"/>
    <x v="0"/>
    <n v="6.9"/>
    <n v="6"/>
    <s v="Single"/>
    <n v="7"/>
    <x v="0"/>
    <x v="0"/>
    <x v="0"/>
    <s v="Average"/>
    <n v="1"/>
    <s v="Average"/>
    <n v="0.5787234042553191"/>
    <n v="0.64255319148936174"/>
    <n v="6.868936170212768"/>
    <n v="6.2269503546099294"/>
  </r>
  <r>
    <n v="562"/>
    <n v="21"/>
    <x v="1"/>
    <x v="1"/>
    <x v="15"/>
    <n v="3.9"/>
    <x v="11"/>
    <x v="1"/>
    <n v="8.4"/>
    <n v="7"/>
    <s v="In Relationship"/>
    <n v="5"/>
    <x v="0"/>
    <x v="1"/>
    <x v="2"/>
    <s v="Healthy"/>
    <n v="0"/>
    <s v="Good"/>
    <n v="0.5787234042553191"/>
    <n v="0.64255319148936174"/>
    <n v="6.868936170212768"/>
    <n v="6.2269503546099294"/>
  </r>
  <r>
    <n v="563"/>
    <n v="20"/>
    <x v="0"/>
    <x v="0"/>
    <x v="19"/>
    <n v="3.2"/>
    <x v="0"/>
    <x v="1"/>
    <n v="8.8000000000000007"/>
    <n v="8"/>
    <s v="Single"/>
    <n v="4"/>
    <x v="0"/>
    <x v="1"/>
    <x v="2"/>
    <s v="Healthy"/>
    <n v="0"/>
    <s v="Good"/>
    <n v="0.5787234042553191"/>
    <n v="0.64255319148936174"/>
    <n v="6.868936170212768"/>
    <n v="6.2269503546099294"/>
  </r>
  <r>
    <n v="564"/>
    <n v="22"/>
    <x v="1"/>
    <x v="1"/>
    <x v="26"/>
    <n v="4.0999999999999996"/>
    <x v="0"/>
    <x v="0"/>
    <n v="8.1"/>
    <n v="7"/>
    <s v="In Relationship"/>
    <n v="6"/>
    <x v="1"/>
    <x v="0"/>
    <x v="2"/>
    <s v="Healthy"/>
    <n v="1"/>
    <s v="Good"/>
    <n v="0.5787234042553191"/>
    <n v="0.64255319148936174"/>
    <n v="6.868936170212768"/>
    <n v="6.2269503546099294"/>
  </r>
  <r>
    <n v="565"/>
    <n v="19"/>
    <x v="0"/>
    <x v="0"/>
    <x v="27"/>
    <n v="5.7"/>
    <x v="2"/>
    <x v="0"/>
    <n v="6.4"/>
    <n v="6"/>
    <s v="Single"/>
    <n v="7"/>
    <x v="0"/>
    <x v="0"/>
    <x v="0"/>
    <s v="Average"/>
    <n v="1"/>
    <s v="Average"/>
    <n v="0.5787234042553191"/>
    <n v="0.64255319148936174"/>
    <n v="6.868936170212768"/>
    <n v="6.2269503546099294"/>
  </r>
  <r>
    <n v="566"/>
    <n v="21"/>
    <x v="1"/>
    <x v="1"/>
    <x v="28"/>
    <n v="6.1"/>
    <x v="10"/>
    <x v="0"/>
    <n v="6.2"/>
    <n v="6"/>
    <s v="Single"/>
    <n v="7"/>
    <x v="0"/>
    <x v="2"/>
    <x v="0"/>
    <s v="Average"/>
    <n v="1"/>
    <s v="Average"/>
    <n v="0.5787234042553191"/>
    <n v="0.64255319148936174"/>
    <n v="6.868936170212768"/>
    <n v="6.2269503546099294"/>
  </r>
  <r>
    <n v="567"/>
    <n v="20"/>
    <x v="0"/>
    <x v="0"/>
    <x v="37"/>
    <n v="7.1"/>
    <x v="0"/>
    <x v="0"/>
    <n v="5.9"/>
    <n v="5"/>
    <s v="In Relationship"/>
    <n v="8"/>
    <x v="0"/>
    <x v="2"/>
    <x v="0"/>
    <s v="Poor"/>
    <n v="1"/>
    <s v="Average"/>
    <n v="0.5787234042553191"/>
    <n v="0.64255319148936174"/>
    <n v="6.868936170212768"/>
    <n v="6.2269503546099294"/>
  </r>
  <r>
    <n v="568"/>
    <n v="22"/>
    <x v="1"/>
    <x v="1"/>
    <x v="60"/>
    <n v="3.6"/>
    <x v="4"/>
    <x v="1"/>
    <n v="8.5"/>
    <n v="7"/>
    <s v="Single"/>
    <n v="5"/>
    <x v="1"/>
    <x v="1"/>
    <x v="2"/>
    <s v="Healthy"/>
    <n v="0"/>
    <s v="Good"/>
    <n v="0.5787234042553191"/>
    <n v="0.64255319148936174"/>
    <n v="6.868936170212768"/>
    <n v="6.2269503546099294"/>
  </r>
  <r>
    <n v="569"/>
    <n v="19"/>
    <x v="0"/>
    <x v="0"/>
    <x v="1"/>
    <n v="7.4"/>
    <x v="10"/>
    <x v="0"/>
    <n v="5.4"/>
    <n v="5"/>
    <s v="In Relationship"/>
    <n v="8"/>
    <x v="0"/>
    <x v="2"/>
    <x v="0"/>
    <s v="Poor"/>
    <n v="1"/>
    <s v="Average"/>
    <n v="0.5787234042553191"/>
    <n v="0.64255319148936174"/>
    <n v="6.868936170212768"/>
    <n v="6.2269503546099294"/>
  </r>
  <r>
    <n v="570"/>
    <n v="21"/>
    <x v="1"/>
    <x v="1"/>
    <x v="4"/>
    <n v="4.2"/>
    <x v="0"/>
    <x v="0"/>
    <n v="8"/>
    <n v="7"/>
    <s v="Single"/>
    <n v="6"/>
    <x v="0"/>
    <x v="0"/>
    <x v="2"/>
    <s v="Healthy"/>
    <n v="1"/>
    <s v="Good"/>
    <n v="0.5787234042553191"/>
    <n v="0.64255319148936174"/>
    <n v="6.868936170212768"/>
    <n v="6.2269503546099294"/>
  </r>
  <r>
    <n v="571"/>
    <n v="20"/>
    <x v="0"/>
    <x v="0"/>
    <x v="11"/>
    <n v="6.1"/>
    <x v="0"/>
    <x v="0"/>
    <n v="7.2"/>
    <n v="5"/>
    <s v="Single"/>
    <n v="7"/>
    <x v="0"/>
    <x v="2"/>
    <x v="0"/>
    <s v="Healthy"/>
    <n v="1"/>
    <s v="Average"/>
    <n v="0.5787234042553191"/>
    <n v="0.64255319148936174"/>
    <n v="6.868936170212768"/>
    <n v="6.2269503546099294"/>
  </r>
  <r>
    <n v="572"/>
    <n v="23"/>
    <x v="1"/>
    <x v="1"/>
    <x v="18"/>
    <n v="3.8"/>
    <x v="1"/>
    <x v="1"/>
    <n v="7.8"/>
    <n v="8"/>
    <s v="In Relationship"/>
    <n v="4"/>
    <x v="1"/>
    <x v="1"/>
    <x v="2"/>
    <s v="Healthy"/>
    <n v="0"/>
    <s v="Good"/>
    <n v="0.5787234042553191"/>
    <n v="0.64255319148936174"/>
    <n v="6.868936170212768"/>
    <n v="6.2269503546099294"/>
  </r>
  <r>
    <n v="573"/>
    <n v="19"/>
    <x v="0"/>
    <x v="0"/>
    <x v="25"/>
    <n v="5.5"/>
    <x v="2"/>
    <x v="0"/>
    <n v="6.8"/>
    <n v="6"/>
    <s v="Single"/>
    <n v="8"/>
    <x v="0"/>
    <x v="0"/>
    <x v="0"/>
    <s v="Average"/>
    <n v="1"/>
    <s v="Average"/>
    <n v="0.5787234042553191"/>
    <n v="0.64255319148936174"/>
    <n v="6.868936170212768"/>
    <n v="6.2269503546099294"/>
  </r>
  <r>
    <n v="574"/>
    <n v="22"/>
    <x v="1"/>
    <x v="1"/>
    <x v="1"/>
    <n v="7.2"/>
    <x v="4"/>
    <x v="0"/>
    <n v="5.9"/>
    <n v="4"/>
    <s v="Single"/>
    <n v="9"/>
    <x v="1"/>
    <x v="2"/>
    <x v="0"/>
    <s v="Poor"/>
    <n v="1"/>
    <s v="Poor"/>
    <n v="0.5787234042553191"/>
    <n v="0.64255319148936174"/>
    <n v="6.868936170212768"/>
    <n v="6.2269503546099294"/>
  </r>
  <r>
    <n v="575"/>
    <n v="21"/>
    <x v="0"/>
    <x v="0"/>
    <x v="21"/>
    <n v="4.2"/>
    <x v="0"/>
    <x v="1"/>
    <n v="7.5"/>
    <n v="7"/>
    <s v="In Relationship"/>
    <n v="5"/>
    <x v="0"/>
    <x v="0"/>
    <x v="2"/>
    <s v="Healthy"/>
    <n v="0"/>
    <s v="Good"/>
    <n v="0.5787234042553191"/>
    <n v="0.64255319148936174"/>
    <n v="6.868936170212768"/>
    <n v="6.2269503546099294"/>
  </r>
  <r>
    <n v="576"/>
    <n v="24"/>
    <x v="1"/>
    <x v="1"/>
    <x v="35"/>
    <n v="6.8"/>
    <x v="2"/>
    <x v="0"/>
    <n v="6.2"/>
    <n v="5"/>
    <s v="Single"/>
    <n v="8"/>
    <x v="1"/>
    <x v="2"/>
    <x v="0"/>
    <s v="Average"/>
    <n v="1"/>
    <s v="Average"/>
    <n v="0.5787234042553191"/>
    <n v="0.64255319148936174"/>
    <n v="6.868936170212768"/>
    <n v="6.2269503546099294"/>
  </r>
  <r>
    <n v="577"/>
    <n v="20"/>
    <x v="0"/>
    <x v="0"/>
    <x v="2"/>
    <n v="5.9"/>
    <x v="0"/>
    <x v="0"/>
    <n v="6.7"/>
    <n v="6"/>
    <s v="In Relationship"/>
    <n v="7"/>
    <x v="0"/>
    <x v="0"/>
    <x v="0"/>
    <s v="Average"/>
    <n v="1"/>
    <s v="Average"/>
    <n v="0.5787234042553191"/>
    <n v="0.64255319148936174"/>
    <n v="6.868936170212768"/>
    <n v="6.2269503546099294"/>
  </r>
  <r>
    <n v="578"/>
    <n v="22"/>
    <x v="1"/>
    <x v="1"/>
    <x v="13"/>
    <n v="6.5"/>
    <x v="4"/>
    <x v="0"/>
    <n v="6.1"/>
    <n v="5"/>
    <s v="Single"/>
    <n v="8"/>
    <x v="1"/>
    <x v="2"/>
    <x v="0"/>
    <s v="Average"/>
    <n v="1"/>
    <s v="Average"/>
    <n v="0.5787234042553191"/>
    <n v="0.64255319148936174"/>
    <n v="6.868936170212768"/>
    <n v="6.2269503546099294"/>
  </r>
  <r>
    <n v="579"/>
    <n v="19"/>
    <x v="0"/>
    <x v="0"/>
    <x v="10"/>
    <n v="4.7"/>
    <x v="1"/>
    <x v="1"/>
    <n v="7.4"/>
    <n v="7"/>
    <s v="Single"/>
    <n v="5"/>
    <x v="0"/>
    <x v="0"/>
    <x v="2"/>
    <s v="Healthy"/>
    <n v="0"/>
    <s v="Good"/>
    <n v="0.5787234042553191"/>
    <n v="0.64255319148936174"/>
    <n v="6.868936170212768"/>
    <n v="6.2269503546099294"/>
  </r>
  <r>
    <n v="580"/>
    <n v="23"/>
    <x v="1"/>
    <x v="1"/>
    <x v="4"/>
    <n v="5.2"/>
    <x v="0"/>
    <x v="0"/>
    <n v="7"/>
    <n v="6"/>
    <s v="In Relationship"/>
    <n v="6"/>
    <x v="1"/>
    <x v="0"/>
    <x v="2"/>
    <s v="Average"/>
    <n v="1"/>
    <s v="Average"/>
    <n v="0.5787234042553191"/>
    <n v="0.64255319148936174"/>
    <n v="6.868936170212768"/>
    <n v="6.2269503546099294"/>
  </r>
  <r>
    <n v="581"/>
    <n v="21"/>
    <x v="0"/>
    <x v="0"/>
    <x v="3"/>
    <n v="6.3"/>
    <x v="2"/>
    <x v="0"/>
    <n v="6.4"/>
    <n v="5"/>
    <s v="Single"/>
    <n v="8"/>
    <x v="0"/>
    <x v="2"/>
    <x v="0"/>
    <s v="Average"/>
    <n v="1"/>
    <s v="Average"/>
    <n v="0.5787234042553191"/>
    <n v="0.64255319148936174"/>
    <n v="6.868936170212768"/>
    <n v="6.2269503546099294"/>
  </r>
  <r>
    <n v="582"/>
    <n v="24"/>
    <x v="1"/>
    <x v="1"/>
    <x v="12"/>
    <n v="4.9000000000000004"/>
    <x v="4"/>
    <x v="1"/>
    <n v="7.3"/>
    <n v="7"/>
    <s v="In Relationship"/>
    <n v="5"/>
    <x v="1"/>
    <x v="0"/>
    <x v="2"/>
    <s v="Healthy"/>
    <n v="0"/>
    <s v="Good"/>
    <n v="0.5787234042553191"/>
    <n v="0.64255319148936174"/>
    <n v="6.868936170212768"/>
    <n v="6.2269503546099294"/>
  </r>
  <r>
    <n v="583"/>
    <n v="20"/>
    <x v="0"/>
    <x v="0"/>
    <x v="14"/>
    <n v="6.7"/>
    <x v="0"/>
    <x v="0"/>
    <n v="6"/>
    <n v="5"/>
    <s v="Single"/>
    <n v="8"/>
    <x v="0"/>
    <x v="2"/>
    <x v="0"/>
    <s v="Average"/>
    <n v="1"/>
    <s v="Average"/>
    <n v="0.5787234042553191"/>
    <n v="0.64255319148936174"/>
    <n v="6.868936170212768"/>
    <n v="6.2269503546099294"/>
  </r>
  <r>
    <n v="584"/>
    <n v="22"/>
    <x v="1"/>
    <x v="1"/>
    <x v="15"/>
    <n v="5.8"/>
    <x v="11"/>
    <x v="0"/>
    <n v="6.5"/>
    <n v="6"/>
    <s v="In Relationship"/>
    <n v="7"/>
    <x v="1"/>
    <x v="0"/>
    <x v="0"/>
    <s v="Average"/>
    <n v="1"/>
    <s v="Average"/>
    <n v="0.5787234042553191"/>
    <n v="0.64255319148936174"/>
    <n v="6.868936170212768"/>
    <n v="6.2269503546099294"/>
  </r>
  <r>
    <n v="585"/>
    <n v="19"/>
    <x v="0"/>
    <x v="0"/>
    <x v="8"/>
    <n v="4.5"/>
    <x v="1"/>
    <x v="1"/>
    <n v="7.6"/>
    <n v="8"/>
    <s v="Single"/>
    <n v="4"/>
    <x v="0"/>
    <x v="0"/>
    <x v="2"/>
    <s v="Healthy"/>
    <n v="0"/>
    <s v="Good"/>
    <n v="0.5787234042553191"/>
    <n v="0.64255319148936174"/>
    <n v="6.868936170212768"/>
    <n v="6.2269503546099294"/>
  </r>
  <r>
    <n v="586"/>
    <n v="23"/>
    <x v="1"/>
    <x v="1"/>
    <x v="60"/>
    <n v="6.4"/>
    <x v="4"/>
    <x v="0"/>
    <n v="6.3"/>
    <n v="5"/>
    <s v="Single"/>
    <n v="8"/>
    <x v="1"/>
    <x v="2"/>
    <x v="0"/>
    <s v="Average"/>
    <n v="1"/>
    <s v="Average"/>
    <n v="0.5787234042553191"/>
    <n v="0.64255319148936174"/>
    <n v="6.868936170212768"/>
    <n v="6.2269503546099294"/>
  </r>
  <r>
    <n v="587"/>
    <n v="21"/>
    <x v="0"/>
    <x v="0"/>
    <x v="59"/>
    <n v="4.0999999999999996"/>
    <x v="0"/>
    <x v="1"/>
    <n v="7.7"/>
    <n v="7"/>
    <s v="In Relationship"/>
    <n v="5"/>
    <x v="0"/>
    <x v="0"/>
    <x v="2"/>
    <s v="Healthy"/>
    <n v="0"/>
    <s v="Good"/>
    <n v="0.5787234042553191"/>
    <n v="0.64255319148936174"/>
    <n v="6.868936170212768"/>
    <n v="6.2269503546099294"/>
  </r>
  <r>
    <n v="588"/>
    <n v="24"/>
    <x v="1"/>
    <x v="1"/>
    <x v="11"/>
    <n v="6.6"/>
    <x v="2"/>
    <x v="0"/>
    <n v="6.2"/>
    <n v="5"/>
    <s v="Single"/>
    <n v="8"/>
    <x v="1"/>
    <x v="2"/>
    <x v="0"/>
    <s v="Average"/>
    <n v="1"/>
    <s v="Average"/>
    <n v="0.5787234042553191"/>
    <n v="0.64255319148936174"/>
    <n v="6.868936170212768"/>
    <n v="6.2269503546099294"/>
  </r>
  <r>
    <n v="589"/>
    <n v="20"/>
    <x v="0"/>
    <x v="0"/>
    <x v="18"/>
    <n v="4.4000000000000004"/>
    <x v="0"/>
    <x v="1"/>
    <n v="7.4"/>
    <n v="7"/>
    <s v="In Relationship"/>
    <n v="5"/>
    <x v="0"/>
    <x v="0"/>
    <x v="2"/>
    <s v="Healthy"/>
    <n v="0"/>
    <s v="Good"/>
    <n v="0.5787234042553191"/>
    <n v="0.64255319148936174"/>
    <n v="6.868936170212768"/>
    <n v="6.2269503546099294"/>
  </r>
  <r>
    <n v="590"/>
    <n v="22"/>
    <x v="1"/>
    <x v="1"/>
    <x v="25"/>
    <n v="5.7"/>
    <x v="1"/>
    <x v="0"/>
    <n v="6.8"/>
    <n v="6"/>
    <s v="Single"/>
    <n v="7"/>
    <x v="1"/>
    <x v="0"/>
    <x v="0"/>
    <s v="Average"/>
    <n v="1"/>
    <s v="Average"/>
    <n v="0.5787234042553191"/>
    <n v="0.64255319148936174"/>
    <n v="6.868936170212768"/>
    <n v="6.2269503546099294"/>
  </r>
  <r>
    <n v="591"/>
    <n v="19"/>
    <x v="0"/>
    <x v="0"/>
    <x v="1"/>
    <n v="7"/>
    <x v="0"/>
    <x v="0"/>
    <n v="5.8"/>
    <n v="4"/>
    <s v="Single"/>
    <n v="9"/>
    <x v="0"/>
    <x v="2"/>
    <x v="0"/>
    <s v="Poor"/>
    <n v="1"/>
    <s v="Poor"/>
    <n v="0.5787234042553191"/>
    <n v="0.64255319148936174"/>
    <n v="6.868936170212768"/>
    <n v="6.2269503546099294"/>
  </r>
  <r>
    <n v="592"/>
    <n v="23"/>
    <x v="1"/>
    <x v="1"/>
    <x v="21"/>
    <n v="4.3"/>
    <x v="4"/>
    <x v="1"/>
    <n v="7.5"/>
    <n v="7"/>
    <s v="In Relationship"/>
    <n v="5"/>
    <x v="1"/>
    <x v="0"/>
    <x v="2"/>
    <s v="Healthy"/>
    <n v="0"/>
    <s v="Good"/>
    <n v="0.5787234042553191"/>
    <n v="0.64255319148936174"/>
    <n v="6.868936170212768"/>
    <n v="6.2269503546099294"/>
  </r>
  <r>
    <n v="593"/>
    <n v="21"/>
    <x v="0"/>
    <x v="0"/>
    <x v="35"/>
    <n v="6.9"/>
    <x v="2"/>
    <x v="0"/>
    <n v="6.1"/>
    <n v="5"/>
    <s v="Single"/>
    <n v="8"/>
    <x v="0"/>
    <x v="2"/>
    <x v="0"/>
    <s v="Average"/>
    <n v="1"/>
    <s v="Average"/>
    <n v="0.5787234042553191"/>
    <n v="0.64255319148936174"/>
    <n v="6.868936170212768"/>
    <n v="6.2269503546099294"/>
  </r>
  <r>
    <n v="594"/>
    <n v="24"/>
    <x v="1"/>
    <x v="1"/>
    <x v="2"/>
    <n v="5.6"/>
    <x v="0"/>
    <x v="0"/>
    <n v="6.9"/>
    <n v="6"/>
    <s v="In Relationship"/>
    <n v="7"/>
    <x v="1"/>
    <x v="0"/>
    <x v="0"/>
    <s v="Average"/>
    <n v="1"/>
    <s v="Average"/>
    <n v="0.5787234042553191"/>
    <n v="0.64255319148936174"/>
    <n v="6.868936170212768"/>
    <n v="6.2269503546099294"/>
  </r>
  <r>
    <n v="595"/>
    <n v="20"/>
    <x v="0"/>
    <x v="0"/>
    <x v="13"/>
    <n v="6.2"/>
    <x v="4"/>
    <x v="0"/>
    <n v="6.3"/>
    <n v="5"/>
    <s v="Single"/>
    <n v="8"/>
    <x v="0"/>
    <x v="2"/>
    <x v="0"/>
    <s v="Average"/>
    <n v="1"/>
    <s v="Average"/>
    <n v="0.5787234042553191"/>
    <n v="0.64255319148936174"/>
    <n v="6.868936170212768"/>
    <n v="6.2269503546099294"/>
  </r>
  <r>
    <n v="596"/>
    <n v="21"/>
    <x v="1"/>
    <x v="0"/>
    <x v="10"/>
    <n v="5.8"/>
    <x v="0"/>
    <x v="0"/>
    <n v="6.7"/>
    <n v="6"/>
    <s v="Single"/>
    <n v="7"/>
    <x v="0"/>
    <x v="0"/>
    <x v="0"/>
    <s v="Average"/>
    <n v="1"/>
    <s v="Average"/>
    <n v="0.5787234042553191"/>
    <n v="0.64255319148936174"/>
    <n v="6.868936170212768"/>
    <n v="6.2269503546099294"/>
  </r>
  <r>
    <n v="597"/>
    <n v="23"/>
    <x v="0"/>
    <x v="1"/>
    <x v="4"/>
    <n v="4.9000000000000004"/>
    <x v="2"/>
    <x v="1"/>
    <n v="7.3"/>
    <n v="7"/>
    <s v="In Relationship"/>
    <n v="5"/>
    <x v="1"/>
    <x v="0"/>
    <x v="2"/>
    <s v="Healthy"/>
    <n v="0"/>
    <s v="Good"/>
    <n v="0.5787234042553191"/>
    <n v="0.64255319148936174"/>
    <n v="6.868936170212768"/>
    <n v="6.2269503546099294"/>
  </r>
  <r>
    <n v="598"/>
    <n v="20"/>
    <x v="1"/>
    <x v="0"/>
    <x v="3"/>
    <n v="6.4"/>
    <x v="4"/>
    <x v="0"/>
    <n v="6.2"/>
    <n v="5"/>
    <s v="Single"/>
    <n v="8"/>
    <x v="0"/>
    <x v="2"/>
    <x v="0"/>
    <s v="Average"/>
    <n v="1"/>
    <s v="Average"/>
    <n v="0.5787234042553191"/>
    <n v="0.64255319148936174"/>
    <n v="6.868936170212768"/>
    <n v="6.2269503546099294"/>
  </r>
  <r>
    <n v="599"/>
    <n v="22"/>
    <x v="0"/>
    <x v="1"/>
    <x v="12"/>
    <n v="5.0999999999999996"/>
    <x v="1"/>
    <x v="1"/>
    <n v="7.1"/>
    <n v="7"/>
    <s v="In Relationship"/>
    <n v="5"/>
    <x v="1"/>
    <x v="0"/>
    <x v="2"/>
    <s v="Healthy"/>
    <n v="0"/>
    <s v="Good"/>
    <n v="0.5787234042553191"/>
    <n v="0.64255319148936174"/>
    <n v="6.868936170212768"/>
    <n v="6.2269503546099294"/>
  </r>
  <r>
    <n v="600"/>
    <n v="19"/>
    <x v="1"/>
    <x v="0"/>
    <x v="14"/>
    <n v="6.7"/>
    <x v="0"/>
    <x v="0"/>
    <n v="6"/>
    <n v="4"/>
    <s v="Single"/>
    <n v="8"/>
    <x v="0"/>
    <x v="2"/>
    <x v="0"/>
    <s v="Average"/>
    <n v="1"/>
    <s v="Poor"/>
    <n v="0.5787234042553191"/>
    <n v="0.64255319148936174"/>
    <n v="6.868936170212768"/>
    <n v="6.2269503546099294"/>
  </r>
  <r>
    <n v="601"/>
    <n v="24"/>
    <x v="0"/>
    <x v="1"/>
    <x v="15"/>
    <n v="5.5"/>
    <x v="11"/>
    <x v="0"/>
    <n v="6.8"/>
    <n v="6"/>
    <s v="In Relationship"/>
    <n v="7"/>
    <x v="1"/>
    <x v="0"/>
    <x v="0"/>
    <s v="Average"/>
    <n v="1"/>
    <s v="Average"/>
    <n v="0.5787234042553191"/>
    <n v="0.64255319148936174"/>
    <n v="6.868936170212768"/>
    <n v="6.2269503546099294"/>
  </r>
  <r>
    <n v="602"/>
    <n v="21"/>
    <x v="1"/>
    <x v="0"/>
    <x v="8"/>
    <n v="4.3"/>
    <x v="1"/>
    <x v="1"/>
    <n v="7.6"/>
    <n v="8"/>
    <s v="Single"/>
    <n v="4"/>
    <x v="0"/>
    <x v="0"/>
    <x v="2"/>
    <s v="Healthy"/>
    <n v="0"/>
    <s v="Good"/>
    <n v="0.5787234042553191"/>
    <n v="0.64255319148936174"/>
    <n v="6.868936170212768"/>
    <n v="6.2269503546099294"/>
  </r>
  <r>
    <n v="603"/>
    <n v="23"/>
    <x v="0"/>
    <x v="1"/>
    <x v="60"/>
    <n v="6.2"/>
    <x v="0"/>
    <x v="0"/>
    <n v="6.4"/>
    <n v="5"/>
    <s v="Single"/>
    <n v="8"/>
    <x v="1"/>
    <x v="2"/>
    <x v="0"/>
    <s v="Average"/>
    <n v="1"/>
    <s v="Average"/>
    <n v="0.5787234042553191"/>
    <n v="0.64255319148936174"/>
    <n v="6.868936170212768"/>
    <n v="6.2269503546099294"/>
  </r>
  <r>
    <n v="604"/>
    <n v="20"/>
    <x v="1"/>
    <x v="0"/>
    <x v="59"/>
    <n v="4.5"/>
    <x v="4"/>
    <x v="1"/>
    <n v="7.4"/>
    <n v="7"/>
    <s v="In Relationship"/>
    <n v="5"/>
    <x v="0"/>
    <x v="0"/>
    <x v="2"/>
    <s v="Healthy"/>
    <n v="0"/>
    <s v="Good"/>
    <n v="0.5787234042553191"/>
    <n v="0.64255319148936174"/>
    <n v="6.868936170212768"/>
    <n v="6.2269503546099294"/>
  </r>
  <r>
    <n v="605"/>
    <n v="22"/>
    <x v="0"/>
    <x v="1"/>
    <x v="11"/>
    <n v="6.3"/>
    <x v="2"/>
    <x v="0"/>
    <n v="6.3"/>
    <n v="5"/>
    <s v="Single"/>
    <n v="8"/>
    <x v="1"/>
    <x v="2"/>
    <x v="0"/>
    <s v="Average"/>
    <n v="1"/>
    <s v="Average"/>
    <n v="0.5787234042553191"/>
    <n v="0.64255319148936174"/>
    <n v="6.868936170212768"/>
    <n v="6.2269503546099294"/>
  </r>
  <r>
    <n v="606"/>
    <n v="19"/>
    <x v="1"/>
    <x v="0"/>
    <x v="18"/>
    <n v="4.7"/>
    <x v="0"/>
    <x v="1"/>
    <n v="7.2"/>
    <n v="7"/>
    <s v="In Relationship"/>
    <n v="5"/>
    <x v="0"/>
    <x v="0"/>
    <x v="2"/>
    <s v="Healthy"/>
    <n v="0"/>
    <s v="Good"/>
    <n v="0.5787234042553191"/>
    <n v="0.64255319148936174"/>
    <n v="6.868936170212768"/>
    <n v="6.2269503546099294"/>
  </r>
  <r>
    <n v="607"/>
    <n v="24"/>
    <x v="0"/>
    <x v="1"/>
    <x v="25"/>
    <n v="5.9"/>
    <x v="1"/>
    <x v="0"/>
    <n v="6.6"/>
    <n v="6"/>
    <s v="Single"/>
    <n v="7"/>
    <x v="1"/>
    <x v="0"/>
    <x v="0"/>
    <s v="Average"/>
    <n v="1"/>
    <s v="Average"/>
    <n v="0.5787234042553191"/>
    <n v="0.64255319148936174"/>
    <n v="6.868936170212768"/>
    <n v="6.2269503546099294"/>
  </r>
  <r>
    <n v="608"/>
    <n v="21"/>
    <x v="1"/>
    <x v="0"/>
    <x v="1"/>
    <n v="7.1"/>
    <x v="4"/>
    <x v="0"/>
    <n v="5.7"/>
    <n v="4"/>
    <s v="Single"/>
    <n v="9"/>
    <x v="0"/>
    <x v="2"/>
    <x v="0"/>
    <s v="Poor"/>
    <n v="1"/>
    <s v="Poor"/>
    <n v="0.5787234042553191"/>
    <n v="0.64255319148936174"/>
    <n v="6.868936170212768"/>
    <n v="6.2269503546099294"/>
  </r>
  <r>
    <n v="609"/>
    <n v="23"/>
    <x v="0"/>
    <x v="1"/>
    <x v="21"/>
    <n v="4.4000000000000004"/>
    <x v="0"/>
    <x v="1"/>
    <n v="7.4"/>
    <n v="7"/>
    <s v="In Relationship"/>
    <n v="5"/>
    <x v="1"/>
    <x v="0"/>
    <x v="2"/>
    <s v="Healthy"/>
    <n v="0"/>
    <s v="Good"/>
    <n v="0.5787234042553191"/>
    <n v="0.64255319148936174"/>
    <n v="6.868936170212768"/>
    <n v="6.2269503546099294"/>
  </r>
  <r>
    <n v="610"/>
    <n v="20"/>
    <x v="1"/>
    <x v="0"/>
    <x v="35"/>
    <n v="6.6"/>
    <x v="2"/>
    <x v="0"/>
    <n v="6.2"/>
    <n v="5"/>
    <s v="Single"/>
    <n v="8"/>
    <x v="0"/>
    <x v="2"/>
    <x v="0"/>
    <s v="Average"/>
    <n v="1"/>
    <s v="Average"/>
    <n v="0.5787234042553191"/>
    <n v="0.64255319148936174"/>
    <n v="6.868936170212768"/>
    <n v="6.2269503546099294"/>
  </r>
  <r>
    <n v="611"/>
    <n v="22"/>
    <x v="0"/>
    <x v="1"/>
    <x v="2"/>
    <n v="5.4"/>
    <x v="0"/>
    <x v="0"/>
    <n v="6.9"/>
    <n v="6"/>
    <s v="In Relationship"/>
    <n v="7"/>
    <x v="1"/>
    <x v="0"/>
    <x v="0"/>
    <s v="Average"/>
    <n v="1"/>
    <s v="Average"/>
    <n v="0.5787234042553191"/>
    <n v="0.64255319148936174"/>
    <n v="6.868936170212768"/>
    <n v="6.2269503546099294"/>
  </r>
  <r>
    <n v="612"/>
    <n v="19"/>
    <x v="1"/>
    <x v="0"/>
    <x v="13"/>
    <n v="6.5"/>
    <x v="4"/>
    <x v="0"/>
    <n v="6.1"/>
    <n v="5"/>
    <s v="Single"/>
    <n v="8"/>
    <x v="0"/>
    <x v="2"/>
    <x v="0"/>
    <s v="Average"/>
    <n v="1"/>
    <s v="Average"/>
    <n v="0.5787234042553191"/>
    <n v="0.64255319148936174"/>
    <n v="6.868936170212768"/>
    <n v="6.2269503546099294"/>
  </r>
  <r>
    <n v="613"/>
    <n v="24"/>
    <x v="0"/>
    <x v="1"/>
    <x v="10"/>
    <n v="4.8"/>
    <x v="1"/>
    <x v="1"/>
    <n v="7.3"/>
    <n v="7"/>
    <s v="In Relationship"/>
    <n v="5"/>
    <x v="1"/>
    <x v="0"/>
    <x v="2"/>
    <s v="Healthy"/>
    <n v="0"/>
    <s v="Good"/>
    <n v="0.5787234042553191"/>
    <n v="0.64255319148936174"/>
    <n v="6.868936170212768"/>
    <n v="6.2269503546099294"/>
  </r>
  <r>
    <n v="614"/>
    <n v="21"/>
    <x v="1"/>
    <x v="0"/>
    <x v="4"/>
    <n v="5.7"/>
    <x v="0"/>
    <x v="0"/>
    <n v="6.7"/>
    <n v="6"/>
    <s v="Single"/>
    <n v="7"/>
    <x v="0"/>
    <x v="0"/>
    <x v="0"/>
    <s v="Average"/>
    <n v="1"/>
    <s v="Average"/>
    <n v="0.5787234042553191"/>
    <n v="0.64255319148936174"/>
    <n v="6.868936170212768"/>
    <n v="6.2269503546099294"/>
  </r>
  <r>
    <n v="615"/>
    <n v="23"/>
    <x v="0"/>
    <x v="1"/>
    <x v="3"/>
    <n v="6.1"/>
    <x v="2"/>
    <x v="0"/>
    <n v="6.4"/>
    <n v="5"/>
    <s v="Single"/>
    <n v="8"/>
    <x v="1"/>
    <x v="2"/>
    <x v="0"/>
    <s v="Average"/>
    <n v="1"/>
    <s v="Average"/>
    <n v="0.5787234042553191"/>
    <n v="0.64255319148936174"/>
    <n v="6.868936170212768"/>
    <n v="6.2269503546099294"/>
  </r>
  <r>
    <n v="616"/>
    <n v="20"/>
    <x v="1"/>
    <x v="0"/>
    <x v="12"/>
    <n v="4.5999999999999996"/>
    <x v="4"/>
    <x v="1"/>
    <n v="7.2"/>
    <n v="7"/>
    <s v="In Relationship"/>
    <n v="5"/>
    <x v="0"/>
    <x v="0"/>
    <x v="2"/>
    <s v="Healthy"/>
    <n v="0"/>
    <s v="Good"/>
    <n v="0.5787234042553191"/>
    <n v="0.64255319148936174"/>
    <n v="6.868936170212768"/>
    <n v="6.2269503546099294"/>
  </r>
  <r>
    <n v="617"/>
    <n v="22"/>
    <x v="0"/>
    <x v="1"/>
    <x v="14"/>
    <n v="6.8"/>
    <x v="0"/>
    <x v="0"/>
    <n v="5.9"/>
    <n v="4"/>
    <s v="Single"/>
    <n v="9"/>
    <x v="1"/>
    <x v="2"/>
    <x v="0"/>
    <s v="Poor"/>
    <n v="1"/>
    <s v="Poor"/>
    <n v="0.5787234042553191"/>
    <n v="0.64255319148936174"/>
    <n v="6.868936170212768"/>
    <n v="6.2269503546099294"/>
  </r>
  <r>
    <n v="618"/>
    <n v="19"/>
    <x v="1"/>
    <x v="0"/>
    <x v="15"/>
    <n v="5.6"/>
    <x v="11"/>
    <x v="0"/>
    <n v="6.8"/>
    <n v="6"/>
    <s v="In Relationship"/>
    <n v="7"/>
    <x v="0"/>
    <x v="0"/>
    <x v="0"/>
    <s v="Average"/>
    <n v="1"/>
    <s v="Average"/>
    <n v="0.5787234042553191"/>
    <n v="0.64255319148936174"/>
    <n v="6.868936170212768"/>
    <n v="6.2269503546099294"/>
  </r>
  <r>
    <n v="619"/>
    <n v="24"/>
    <x v="0"/>
    <x v="1"/>
    <x v="8"/>
    <n v="4.2"/>
    <x v="1"/>
    <x v="1"/>
    <n v="7.5"/>
    <n v="8"/>
    <s v="Single"/>
    <n v="4"/>
    <x v="1"/>
    <x v="0"/>
    <x v="2"/>
    <s v="Healthy"/>
    <n v="0"/>
    <s v="Good"/>
    <n v="0.5787234042553191"/>
    <n v="0.64255319148936174"/>
    <n v="6.868936170212768"/>
    <n v="6.2269503546099294"/>
  </r>
  <r>
    <n v="620"/>
    <n v="21"/>
    <x v="1"/>
    <x v="0"/>
    <x v="60"/>
    <n v="6.3"/>
    <x v="2"/>
    <x v="0"/>
    <n v="6.3"/>
    <n v="5"/>
    <s v="Single"/>
    <n v="8"/>
    <x v="0"/>
    <x v="2"/>
    <x v="0"/>
    <s v="Average"/>
    <n v="1"/>
    <s v="Average"/>
    <n v="0.5787234042553191"/>
    <n v="0.64255319148936174"/>
    <n v="6.868936170212768"/>
    <n v="6.2269503546099294"/>
  </r>
  <r>
    <n v="621"/>
    <n v="23"/>
    <x v="0"/>
    <x v="1"/>
    <x v="59"/>
    <n v="4.4000000000000004"/>
    <x v="0"/>
    <x v="1"/>
    <n v="7.4"/>
    <n v="7"/>
    <s v="In Relationship"/>
    <n v="5"/>
    <x v="1"/>
    <x v="0"/>
    <x v="2"/>
    <s v="Healthy"/>
    <n v="0"/>
    <s v="Good"/>
    <n v="0.5787234042553191"/>
    <n v="0.64255319148936174"/>
    <n v="6.868936170212768"/>
    <n v="6.2269503546099294"/>
  </r>
  <r>
    <n v="622"/>
    <n v="20"/>
    <x v="1"/>
    <x v="0"/>
    <x v="11"/>
    <n v="6.5"/>
    <x v="4"/>
    <x v="0"/>
    <n v="6.2"/>
    <n v="5"/>
    <s v="Single"/>
    <n v="8"/>
    <x v="0"/>
    <x v="2"/>
    <x v="0"/>
    <s v="Average"/>
    <n v="1"/>
    <s v="Average"/>
    <n v="0.5787234042553191"/>
    <n v="0.64255319148936174"/>
    <n v="6.868936170212768"/>
    <n v="6.2269503546099294"/>
  </r>
  <r>
    <n v="623"/>
    <n v="22"/>
    <x v="0"/>
    <x v="1"/>
    <x v="18"/>
    <n v="4.5999999999999996"/>
    <x v="1"/>
    <x v="1"/>
    <n v="7.3"/>
    <n v="7"/>
    <s v="In Relationship"/>
    <n v="5"/>
    <x v="1"/>
    <x v="0"/>
    <x v="2"/>
    <s v="Healthy"/>
    <n v="0"/>
    <s v="Good"/>
    <n v="0.5787234042553191"/>
    <n v="0.64255319148936174"/>
    <n v="6.868936170212768"/>
    <n v="6.2269503546099294"/>
  </r>
  <r>
    <n v="624"/>
    <n v="19"/>
    <x v="1"/>
    <x v="0"/>
    <x v="25"/>
    <n v="5.8"/>
    <x v="0"/>
    <x v="0"/>
    <n v="6.6"/>
    <n v="6"/>
    <s v="Single"/>
    <n v="7"/>
    <x v="0"/>
    <x v="0"/>
    <x v="0"/>
    <s v="Average"/>
    <n v="1"/>
    <s v="Average"/>
    <n v="0.5787234042553191"/>
    <n v="0.64255319148936174"/>
    <n v="6.868936170212768"/>
    <n v="6.2269503546099294"/>
  </r>
  <r>
    <n v="625"/>
    <n v="24"/>
    <x v="0"/>
    <x v="1"/>
    <x v="1"/>
    <n v="7"/>
    <x v="2"/>
    <x v="0"/>
    <n v="5.8"/>
    <n v="4"/>
    <s v="Single"/>
    <n v="9"/>
    <x v="1"/>
    <x v="2"/>
    <x v="0"/>
    <s v="Poor"/>
    <n v="1"/>
    <s v="Poor"/>
    <n v="0.5787234042553191"/>
    <n v="0.64255319148936174"/>
    <n v="6.868936170212768"/>
    <n v="6.2269503546099294"/>
  </r>
  <r>
    <n v="626"/>
    <n v="21"/>
    <x v="1"/>
    <x v="0"/>
    <x v="21"/>
    <n v="4.5"/>
    <x v="4"/>
    <x v="1"/>
    <n v="7.3"/>
    <n v="7"/>
    <s v="In Relationship"/>
    <n v="5"/>
    <x v="0"/>
    <x v="0"/>
    <x v="2"/>
    <s v="Healthy"/>
    <n v="0"/>
    <s v="Good"/>
    <n v="0.5787234042553191"/>
    <n v="0.64255319148936174"/>
    <n v="6.868936170212768"/>
    <n v="6.2269503546099294"/>
  </r>
  <r>
    <n v="627"/>
    <n v="23"/>
    <x v="0"/>
    <x v="1"/>
    <x v="35"/>
    <n v="6.7"/>
    <x v="0"/>
    <x v="0"/>
    <n v="6.1"/>
    <n v="5"/>
    <s v="Single"/>
    <n v="8"/>
    <x v="1"/>
    <x v="2"/>
    <x v="0"/>
    <s v="Average"/>
    <n v="1"/>
    <s v="Average"/>
    <n v="0.5787234042553191"/>
    <n v="0.64255319148936174"/>
    <n v="6.868936170212768"/>
    <n v="6.2269503546099294"/>
  </r>
  <r>
    <n v="628"/>
    <n v="20"/>
    <x v="1"/>
    <x v="0"/>
    <x v="2"/>
    <n v="5.5"/>
    <x v="1"/>
    <x v="0"/>
    <n v="6.8"/>
    <n v="6"/>
    <s v="In Relationship"/>
    <n v="7"/>
    <x v="0"/>
    <x v="0"/>
    <x v="0"/>
    <s v="Average"/>
    <n v="1"/>
    <s v="Average"/>
    <n v="0.5787234042553191"/>
    <n v="0.64255319148936174"/>
    <n v="6.868936170212768"/>
    <n v="6.2269503546099294"/>
  </r>
  <r>
    <n v="629"/>
    <n v="22"/>
    <x v="0"/>
    <x v="1"/>
    <x v="13"/>
    <n v="6.4"/>
    <x v="4"/>
    <x v="0"/>
    <n v="6.2"/>
    <n v="5"/>
    <s v="Single"/>
    <n v="8"/>
    <x v="1"/>
    <x v="2"/>
    <x v="0"/>
    <s v="Average"/>
    <n v="1"/>
    <s v="Average"/>
    <n v="0.5787234042553191"/>
    <n v="0.64255319148936174"/>
    <n v="6.868936170212768"/>
    <n v="6.2269503546099294"/>
  </r>
  <r>
    <n v="630"/>
    <n v="19"/>
    <x v="1"/>
    <x v="0"/>
    <x v="10"/>
    <n v="4.7"/>
    <x v="0"/>
    <x v="1"/>
    <n v="7.2"/>
    <n v="7"/>
    <s v="In Relationship"/>
    <n v="5"/>
    <x v="0"/>
    <x v="0"/>
    <x v="2"/>
    <s v="Healthy"/>
    <n v="0"/>
    <s v="Good"/>
    <n v="0.5787234042553191"/>
    <n v="0.64255319148936174"/>
    <n v="6.868936170212768"/>
    <n v="6.2269503546099294"/>
  </r>
  <r>
    <n v="631"/>
    <n v="24"/>
    <x v="0"/>
    <x v="1"/>
    <x v="4"/>
    <n v="5.6"/>
    <x v="2"/>
    <x v="0"/>
    <n v="6.7"/>
    <n v="6"/>
    <s v="Single"/>
    <n v="7"/>
    <x v="1"/>
    <x v="0"/>
    <x v="0"/>
    <s v="Average"/>
    <n v="1"/>
    <s v="Average"/>
    <n v="0.5787234042553191"/>
    <n v="0.64255319148936174"/>
    <n v="6.868936170212768"/>
    <n v="6.2269503546099294"/>
  </r>
  <r>
    <n v="632"/>
    <n v="21"/>
    <x v="1"/>
    <x v="0"/>
    <x v="3"/>
    <n v="6.2"/>
    <x v="4"/>
    <x v="0"/>
    <n v="6.3"/>
    <n v="5"/>
    <s v="Single"/>
    <n v="8"/>
    <x v="0"/>
    <x v="2"/>
    <x v="0"/>
    <s v="Average"/>
    <n v="1"/>
    <s v="Average"/>
    <n v="0.5787234042553191"/>
    <n v="0.64255319148936174"/>
    <n v="6.868936170212768"/>
    <n v="6.2269503546099294"/>
  </r>
  <r>
    <n v="633"/>
    <n v="23"/>
    <x v="0"/>
    <x v="1"/>
    <x v="12"/>
    <n v="4.8"/>
    <x v="1"/>
    <x v="1"/>
    <n v="7.1"/>
    <n v="7"/>
    <s v="In Relationship"/>
    <n v="5"/>
    <x v="1"/>
    <x v="0"/>
    <x v="2"/>
    <s v="Healthy"/>
    <n v="0"/>
    <s v="Good"/>
    <n v="0.5787234042553191"/>
    <n v="0.64255319148936174"/>
    <n v="6.868936170212768"/>
    <n v="6.2269503546099294"/>
  </r>
  <r>
    <n v="634"/>
    <n v="20"/>
    <x v="1"/>
    <x v="0"/>
    <x v="14"/>
    <n v="6.9"/>
    <x v="0"/>
    <x v="0"/>
    <n v="5.9"/>
    <n v="4"/>
    <s v="Single"/>
    <n v="9"/>
    <x v="0"/>
    <x v="2"/>
    <x v="0"/>
    <s v="Poor"/>
    <n v="1"/>
    <s v="Poor"/>
    <n v="0.5787234042553191"/>
    <n v="0.64255319148936174"/>
    <n v="6.868936170212768"/>
    <n v="6.2269503546099294"/>
  </r>
  <r>
    <n v="635"/>
    <n v="22"/>
    <x v="0"/>
    <x v="1"/>
    <x v="15"/>
    <n v="5.7"/>
    <x v="11"/>
    <x v="0"/>
    <n v="6.7"/>
    <n v="6"/>
    <s v="In Relationship"/>
    <n v="7"/>
    <x v="1"/>
    <x v="0"/>
    <x v="0"/>
    <s v="Average"/>
    <n v="1"/>
    <s v="Average"/>
    <n v="0.5787234042553191"/>
    <n v="0.64255319148936174"/>
    <n v="6.868936170212768"/>
    <n v="6.2269503546099294"/>
  </r>
  <r>
    <n v="636"/>
    <n v="19"/>
    <x v="1"/>
    <x v="0"/>
    <x v="8"/>
    <n v="4.4000000000000004"/>
    <x v="1"/>
    <x v="1"/>
    <n v="7.4"/>
    <n v="8"/>
    <s v="Single"/>
    <n v="4"/>
    <x v="0"/>
    <x v="0"/>
    <x v="2"/>
    <s v="Healthy"/>
    <n v="0"/>
    <s v="Good"/>
    <n v="0.5787234042553191"/>
    <n v="0.64255319148936174"/>
    <n v="6.868936170212768"/>
    <n v="6.2269503546099294"/>
  </r>
  <r>
    <n v="637"/>
    <n v="24"/>
    <x v="0"/>
    <x v="1"/>
    <x v="60"/>
    <n v="6.1"/>
    <x v="2"/>
    <x v="0"/>
    <n v="6.4"/>
    <n v="5"/>
    <s v="Single"/>
    <n v="8"/>
    <x v="1"/>
    <x v="2"/>
    <x v="0"/>
    <s v="Average"/>
    <n v="1"/>
    <s v="Average"/>
    <n v="0.5787234042553191"/>
    <n v="0.64255319148936174"/>
    <n v="6.868936170212768"/>
    <n v="6.2269503546099294"/>
  </r>
  <r>
    <n v="638"/>
    <n v="21"/>
    <x v="1"/>
    <x v="0"/>
    <x v="59"/>
    <n v="4.3"/>
    <x v="0"/>
    <x v="1"/>
    <n v="7.5"/>
    <n v="7"/>
    <s v="In Relationship"/>
    <n v="5"/>
    <x v="0"/>
    <x v="0"/>
    <x v="2"/>
    <s v="Healthy"/>
    <n v="0"/>
    <s v="Good"/>
    <n v="0.5787234042553191"/>
    <n v="0.64255319148936174"/>
    <n v="6.868936170212768"/>
    <n v="6.2269503546099294"/>
  </r>
  <r>
    <n v="639"/>
    <n v="23"/>
    <x v="0"/>
    <x v="1"/>
    <x v="11"/>
    <n v="6.4"/>
    <x v="4"/>
    <x v="0"/>
    <n v="6.2"/>
    <n v="5"/>
    <s v="Single"/>
    <n v="8"/>
    <x v="1"/>
    <x v="2"/>
    <x v="0"/>
    <s v="Average"/>
    <n v="1"/>
    <s v="Average"/>
    <n v="0.5787234042553191"/>
    <n v="0.64255319148936174"/>
    <n v="6.868936170212768"/>
    <n v="6.2269503546099294"/>
  </r>
  <r>
    <n v="640"/>
    <n v="20"/>
    <x v="1"/>
    <x v="0"/>
    <x v="18"/>
    <n v="4.5"/>
    <x v="1"/>
    <x v="1"/>
    <n v="7.3"/>
    <n v="7"/>
    <s v="In Relationship"/>
    <n v="5"/>
    <x v="0"/>
    <x v="0"/>
    <x v="2"/>
    <s v="Healthy"/>
    <n v="0"/>
    <s v="Good"/>
    <n v="0.5787234042553191"/>
    <n v="0.64255319148936174"/>
    <n v="6.868936170212768"/>
    <n v="6.2269503546099294"/>
  </r>
  <r>
    <n v="641"/>
    <n v="22"/>
    <x v="0"/>
    <x v="1"/>
    <x v="25"/>
    <n v="5.9"/>
    <x v="0"/>
    <x v="0"/>
    <n v="6.5"/>
    <n v="6"/>
    <s v="Single"/>
    <n v="7"/>
    <x v="1"/>
    <x v="0"/>
    <x v="0"/>
    <s v="Average"/>
    <n v="1"/>
    <s v="Average"/>
    <n v="0.5787234042553191"/>
    <n v="0.64255319148936174"/>
    <n v="6.868936170212768"/>
    <n v="6.2269503546099294"/>
  </r>
  <r>
    <n v="642"/>
    <n v="19"/>
    <x v="1"/>
    <x v="0"/>
    <x v="1"/>
    <n v="7.2"/>
    <x v="2"/>
    <x v="0"/>
    <n v="5.7"/>
    <n v="4"/>
    <s v="Single"/>
    <n v="9"/>
    <x v="0"/>
    <x v="2"/>
    <x v="0"/>
    <s v="Poor"/>
    <n v="1"/>
    <s v="Poor"/>
    <n v="0.5787234042553191"/>
    <n v="0.64255319148936174"/>
    <n v="6.868936170212768"/>
    <n v="6.2269503546099294"/>
  </r>
  <r>
    <n v="643"/>
    <n v="24"/>
    <x v="0"/>
    <x v="1"/>
    <x v="21"/>
    <n v="4.5999999999999996"/>
    <x v="4"/>
    <x v="1"/>
    <n v="7.2"/>
    <n v="7"/>
    <s v="In Relationship"/>
    <n v="5"/>
    <x v="1"/>
    <x v="0"/>
    <x v="2"/>
    <s v="Healthy"/>
    <n v="0"/>
    <s v="Good"/>
    <n v="0.5787234042553191"/>
    <n v="0.64255319148936174"/>
    <n v="6.868936170212768"/>
    <n v="6.2269503546099294"/>
  </r>
  <r>
    <n v="644"/>
    <n v="21"/>
    <x v="1"/>
    <x v="0"/>
    <x v="35"/>
    <n v="6.8"/>
    <x v="0"/>
    <x v="0"/>
    <n v="6"/>
    <n v="5"/>
    <s v="Single"/>
    <n v="8"/>
    <x v="0"/>
    <x v="2"/>
    <x v="0"/>
    <s v="Average"/>
    <n v="1"/>
    <s v="Average"/>
    <n v="0.5787234042553191"/>
    <n v="0.64255319148936174"/>
    <n v="6.868936170212768"/>
    <n v="6.2269503546099294"/>
  </r>
  <r>
    <n v="645"/>
    <n v="23"/>
    <x v="0"/>
    <x v="1"/>
    <x v="2"/>
    <n v="5.3"/>
    <x v="1"/>
    <x v="0"/>
    <n v="6.8"/>
    <n v="6"/>
    <s v="In Relationship"/>
    <n v="7"/>
    <x v="1"/>
    <x v="0"/>
    <x v="0"/>
    <s v="Average"/>
    <n v="1"/>
    <s v="Average"/>
    <n v="0.5787234042553191"/>
    <n v="0.64255319148936174"/>
    <n v="6.868936170212768"/>
    <n v="6.2269503546099294"/>
  </r>
  <r>
    <n v="646"/>
    <n v="22"/>
    <x v="1"/>
    <x v="1"/>
    <x v="13"/>
    <n v="6.3"/>
    <x v="4"/>
    <x v="0"/>
    <n v="6.2"/>
    <n v="5"/>
    <s v="Single"/>
    <n v="8"/>
    <x v="1"/>
    <x v="2"/>
    <x v="0"/>
    <s v="Average"/>
    <n v="1"/>
    <s v="Average"/>
    <n v="0.5787234042553191"/>
    <n v="0.64255319148936174"/>
    <n v="6.868936170212768"/>
    <n v="6.2269503546099294"/>
  </r>
  <r>
    <n v="647"/>
    <n v="20"/>
    <x v="0"/>
    <x v="0"/>
    <x v="10"/>
    <n v="4.8"/>
    <x v="0"/>
    <x v="1"/>
    <n v="7.1"/>
    <n v="7"/>
    <s v="In Relationship"/>
    <n v="5"/>
    <x v="0"/>
    <x v="0"/>
    <x v="2"/>
    <s v="Healthy"/>
    <n v="0"/>
    <s v="Good"/>
    <n v="0.5787234042553191"/>
    <n v="0.64255319148936174"/>
    <n v="6.868936170212768"/>
    <n v="6.2269503546099294"/>
  </r>
  <r>
    <n v="648"/>
    <n v="23"/>
    <x v="1"/>
    <x v="1"/>
    <x v="4"/>
    <n v="5.7"/>
    <x v="2"/>
    <x v="0"/>
    <n v="6.6"/>
    <n v="6"/>
    <s v="Single"/>
    <n v="7"/>
    <x v="1"/>
    <x v="0"/>
    <x v="0"/>
    <s v="Average"/>
    <n v="1"/>
    <s v="Average"/>
    <n v="0.5787234042553191"/>
    <n v="0.64255319148936174"/>
    <n v="6.868936170212768"/>
    <n v="6.2269503546099294"/>
  </r>
  <r>
    <n v="649"/>
    <n v="21"/>
    <x v="0"/>
    <x v="0"/>
    <x v="3"/>
    <n v="6.2"/>
    <x v="1"/>
    <x v="0"/>
    <n v="6.3"/>
    <n v="5"/>
    <s v="Single"/>
    <n v="8"/>
    <x v="0"/>
    <x v="2"/>
    <x v="0"/>
    <s v="Average"/>
    <n v="1"/>
    <s v="Average"/>
    <n v="0.5787234042553191"/>
    <n v="0.64255319148936174"/>
    <n v="6.868936170212768"/>
    <n v="6.2269503546099294"/>
  </r>
  <r>
    <n v="650"/>
    <n v="24"/>
    <x v="1"/>
    <x v="1"/>
    <x v="12"/>
    <n v="4.7"/>
    <x v="4"/>
    <x v="1"/>
    <n v="7.2"/>
    <n v="7"/>
    <s v="In Relationship"/>
    <n v="5"/>
    <x v="1"/>
    <x v="0"/>
    <x v="2"/>
    <s v="Healthy"/>
    <n v="0"/>
    <s v="Good"/>
    <n v="0.5787234042553191"/>
    <n v="0.64255319148936174"/>
    <n v="6.868936170212768"/>
    <n v="6.2269503546099294"/>
  </r>
  <r>
    <n v="651"/>
    <n v="19"/>
    <x v="0"/>
    <x v="0"/>
    <x v="14"/>
    <n v="6.8"/>
    <x v="0"/>
    <x v="0"/>
    <n v="5.9"/>
    <n v="4"/>
    <s v="Single"/>
    <n v="9"/>
    <x v="0"/>
    <x v="2"/>
    <x v="0"/>
    <s v="Poor"/>
    <n v="1"/>
    <s v="Poor"/>
    <n v="0.5787234042553191"/>
    <n v="0.64255319148936174"/>
    <n v="6.868936170212768"/>
    <n v="6.2269503546099294"/>
  </r>
  <r>
    <n v="652"/>
    <n v="22"/>
    <x v="1"/>
    <x v="1"/>
    <x v="15"/>
    <n v="5.6"/>
    <x v="11"/>
    <x v="0"/>
    <n v="6.7"/>
    <n v="6"/>
    <s v="In Relationship"/>
    <n v="7"/>
    <x v="1"/>
    <x v="0"/>
    <x v="0"/>
    <s v="Average"/>
    <n v="1"/>
    <s v="Average"/>
    <n v="0.5787234042553191"/>
    <n v="0.64255319148936174"/>
    <n v="6.868936170212768"/>
    <n v="6.2269503546099294"/>
  </r>
  <r>
    <n v="653"/>
    <n v="20"/>
    <x v="0"/>
    <x v="0"/>
    <x v="8"/>
    <n v="4.3"/>
    <x v="1"/>
    <x v="1"/>
    <n v="7.5"/>
    <n v="8"/>
    <s v="Single"/>
    <n v="4"/>
    <x v="0"/>
    <x v="0"/>
    <x v="2"/>
    <s v="Healthy"/>
    <n v="0"/>
    <s v="Good"/>
    <n v="0.5787234042553191"/>
    <n v="0.64255319148936174"/>
    <n v="6.868936170212768"/>
    <n v="6.2269503546099294"/>
  </r>
  <r>
    <n v="654"/>
    <n v="23"/>
    <x v="1"/>
    <x v="1"/>
    <x v="60"/>
    <n v="6.2"/>
    <x v="2"/>
    <x v="0"/>
    <n v="6.3"/>
    <n v="5"/>
    <s v="Single"/>
    <n v="8"/>
    <x v="1"/>
    <x v="2"/>
    <x v="0"/>
    <s v="Average"/>
    <n v="1"/>
    <s v="Average"/>
    <n v="0.5787234042553191"/>
    <n v="0.64255319148936174"/>
    <n v="6.868936170212768"/>
    <n v="6.2269503546099294"/>
  </r>
  <r>
    <n v="655"/>
    <n v="21"/>
    <x v="0"/>
    <x v="0"/>
    <x v="59"/>
    <n v="4.4000000000000004"/>
    <x v="0"/>
    <x v="1"/>
    <n v="7.4"/>
    <n v="7"/>
    <s v="In Relationship"/>
    <n v="5"/>
    <x v="0"/>
    <x v="0"/>
    <x v="2"/>
    <s v="Healthy"/>
    <n v="0"/>
    <s v="Good"/>
    <n v="0.5787234042553191"/>
    <n v="0.64255319148936174"/>
    <n v="6.868936170212768"/>
    <n v="6.2269503546099294"/>
  </r>
  <r>
    <n v="656"/>
    <n v="24"/>
    <x v="1"/>
    <x v="1"/>
    <x v="11"/>
    <n v="6.5"/>
    <x v="4"/>
    <x v="0"/>
    <n v="6.1"/>
    <n v="5"/>
    <s v="Single"/>
    <n v="8"/>
    <x v="1"/>
    <x v="2"/>
    <x v="0"/>
    <s v="Average"/>
    <n v="1"/>
    <s v="Average"/>
    <n v="0.5787234042553191"/>
    <n v="0.64255319148936174"/>
    <n v="6.868936170212768"/>
    <n v="6.2269503546099294"/>
  </r>
  <r>
    <n v="657"/>
    <n v="19"/>
    <x v="0"/>
    <x v="0"/>
    <x v="18"/>
    <n v="4.5999999999999996"/>
    <x v="1"/>
    <x v="1"/>
    <n v="7.3"/>
    <n v="7"/>
    <s v="In Relationship"/>
    <n v="5"/>
    <x v="0"/>
    <x v="0"/>
    <x v="2"/>
    <s v="Healthy"/>
    <n v="0"/>
    <s v="Good"/>
    <n v="0.5787234042553191"/>
    <n v="0.64255319148936174"/>
    <n v="6.868936170212768"/>
    <n v="6.2269503546099294"/>
  </r>
  <r>
    <n v="658"/>
    <n v="22"/>
    <x v="1"/>
    <x v="1"/>
    <x v="25"/>
    <n v="5.8"/>
    <x v="0"/>
    <x v="0"/>
    <n v="6.6"/>
    <n v="6"/>
    <s v="Single"/>
    <n v="7"/>
    <x v="1"/>
    <x v="0"/>
    <x v="0"/>
    <s v="Average"/>
    <n v="1"/>
    <s v="Average"/>
    <n v="0.5787234042553191"/>
    <n v="0.64255319148936174"/>
    <n v="6.868936170212768"/>
    <n v="6.2269503546099294"/>
  </r>
  <r>
    <n v="659"/>
    <n v="20"/>
    <x v="0"/>
    <x v="0"/>
    <x v="1"/>
    <n v="7.1"/>
    <x v="2"/>
    <x v="0"/>
    <n v="5.8"/>
    <n v="4"/>
    <s v="Single"/>
    <n v="9"/>
    <x v="0"/>
    <x v="2"/>
    <x v="0"/>
    <s v="Poor"/>
    <n v="1"/>
    <s v="Poor"/>
    <n v="0.5787234042553191"/>
    <n v="0.64255319148936174"/>
    <n v="6.868936170212768"/>
    <n v="6.2269503546099294"/>
  </r>
  <r>
    <n v="660"/>
    <n v="23"/>
    <x v="1"/>
    <x v="1"/>
    <x v="21"/>
    <n v="4.5"/>
    <x v="4"/>
    <x v="1"/>
    <n v="7.3"/>
    <n v="7"/>
    <s v="In Relationship"/>
    <n v="5"/>
    <x v="1"/>
    <x v="0"/>
    <x v="2"/>
    <s v="Healthy"/>
    <n v="0"/>
    <s v="Good"/>
    <n v="0.5787234042553191"/>
    <n v="0.64255319148936174"/>
    <n v="6.868936170212768"/>
    <n v="6.2269503546099294"/>
  </r>
  <r>
    <n v="661"/>
    <n v="21"/>
    <x v="0"/>
    <x v="0"/>
    <x v="35"/>
    <n v="6.7"/>
    <x v="0"/>
    <x v="0"/>
    <n v="6"/>
    <n v="5"/>
    <s v="Single"/>
    <n v="8"/>
    <x v="0"/>
    <x v="2"/>
    <x v="0"/>
    <s v="Average"/>
    <n v="1"/>
    <s v="Average"/>
    <n v="0.5787234042553191"/>
    <n v="0.64255319148936174"/>
    <n v="6.868936170212768"/>
    <n v="6.2269503546099294"/>
  </r>
  <r>
    <n v="662"/>
    <n v="24"/>
    <x v="1"/>
    <x v="1"/>
    <x v="2"/>
    <n v="5.4"/>
    <x v="1"/>
    <x v="0"/>
    <n v="6.8"/>
    <n v="6"/>
    <s v="In Relationship"/>
    <n v="7"/>
    <x v="1"/>
    <x v="0"/>
    <x v="0"/>
    <s v="Average"/>
    <n v="1"/>
    <s v="Average"/>
    <n v="0.5787234042553191"/>
    <n v="0.64255319148936174"/>
    <n v="6.868936170212768"/>
    <n v="6.2269503546099294"/>
  </r>
  <r>
    <n v="663"/>
    <n v="19"/>
    <x v="0"/>
    <x v="0"/>
    <x v="13"/>
    <n v="6.4"/>
    <x v="2"/>
    <x v="0"/>
    <n v="6.2"/>
    <n v="5"/>
    <s v="Single"/>
    <n v="8"/>
    <x v="0"/>
    <x v="2"/>
    <x v="0"/>
    <s v="Average"/>
    <n v="1"/>
    <s v="Average"/>
    <n v="0.5787234042553191"/>
    <n v="0.64255319148936174"/>
    <n v="6.868936170212768"/>
    <n v="6.2269503546099294"/>
  </r>
  <r>
    <n v="664"/>
    <n v="22"/>
    <x v="1"/>
    <x v="1"/>
    <x v="10"/>
    <n v="4.7"/>
    <x v="4"/>
    <x v="1"/>
    <n v="7.2"/>
    <n v="7"/>
    <s v="In Relationship"/>
    <n v="5"/>
    <x v="1"/>
    <x v="0"/>
    <x v="2"/>
    <s v="Healthy"/>
    <n v="0"/>
    <s v="Good"/>
    <n v="0.5787234042553191"/>
    <n v="0.64255319148936174"/>
    <n v="6.868936170212768"/>
    <n v="6.2269503546099294"/>
  </r>
  <r>
    <n v="665"/>
    <n v="20"/>
    <x v="0"/>
    <x v="0"/>
    <x v="4"/>
    <n v="5.6"/>
    <x v="0"/>
    <x v="0"/>
    <n v="6.7"/>
    <n v="6"/>
    <s v="Single"/>
    <n v="7"/>
    <x v="0"/>
    <x v="0"/>
    <x v="0"/>
    <s v="Average"/>
    <n v="1"/>
    <s v="Average"/>
    <n v="0.5787234042553191"/>
    <n v="0.64255319148936174"/>
    <n v="6.868936170212768"/>
    <n v="6.2269503546099294"/>
  </r>
  <r>
    <n v="666"/>
    <n v="23"/>
    <x v="1"/>
    <x v="1"/>
    <x v="3"/>
    <n v="6.3"/>
    <x v="1"/>
    <x v="0"/>
    <n v="6.2"/>
    <n v="5"/>
    <s v="Single"/>
    <n v="8"/>
    <x v="1"/>
    <x v="2"/>
    <x v="0"/>
    <s v="Average"/>
    <n v="1"/>
    <s v="Average"/>
    <n v="0.5787234042553191"/>
    <n v="0.64255319148936174"/>
    <n v="6.868936170212768"/>
    <n v="6.2269503546099294"/>
  </r>
  <r>
    <n v="667"/>
    <n v="21"/>
    <x v="0"/>
    <x v="0"/>
    <x v="12"/>
    <n v="4.8"/>
    <x v="2"/>
    <x v="1"/>
    <n v="7.1"/>
    <n v="7"/>
    <s v="In Relationship"/>
    <n v="5"/>
    <x v="0"/>
    <x v="0"/>
    <x v="2"/>
    <s v="Healthy"/>
    <n v="0"/>
    <s v="Good"/>
    <n v="0.5787234042553191"/>
    <n v="0.64255319148936174"/>
    <n v="6.868936170212768"/>
    <n v="6.2269503546099294"/>
  </r>
  <r>
    <n v="668"/>
    <n v="24"/>
    <x v="1"/>
    <x v="1"/>
    <x v="14"/>
    <n v="6.9"/>
    <x v="0"/>
    <x v="0"/>
    <n v="5.9"/>
    <n v="4"/>
    <s v="Single"/>
    <n v="9"/>
    <x v="1"/>
    <x v="2"/>
    <x v="0"/>
    <s v="Poor"/>
    <n v="1"/>
    <s v="Poor"/>
    <n v="0.5787234042553191"/>
    <n v="0.64255319148936174"/>
    <n v="6.868936170212768"/>
    <n v="6.2269503546099294"/>
  </r>
  <r>
    <n v="669"/>
    <n v="19"/>
    <x v="0"/>
    <x v="0"/>
    <x v="15"/>
    <n v="5.7"/>
    <x v="11"/>
    <x v="0"/>
    <n v="6.7"/>
    <n v="6"/>
    <s v="In Relationship"/>
    <n v="7"/>
    <x v="0"/>
    <x v="0"/>
    <x v="0"/>
    <s v="Average"/>
    <n v="1"/>
    <s v="Average"/>
    <n v="0.5787234042553191"/>
    <n v="0.64255319148936174"/>
    <n v="6.868936170212768"/>
    <n v="6.2269503546099294"/>
  </r>
  <r>
    <n v="670"/>
    <n v="22"/>
    <x v="1"/>
    <x v="1"/>
    <x v="8"/>
    <n v="4.4000000000000004"/>
    <x v="1"/>
    <x v="1"/>
    <n v="7.4"/>
    <n v="8"/>
    <s v="Single"/>
    <n v="4"/>
    <x v="1"/>
    <x v="0"/>
    <x v="2"/>
    <s v="Healthy"/>
    <n v="0"/>
    <s v="Good"/>
    <n v="0.5787234042553191"/>
    <n v="0.64255319148936174"/>
    <n v="6.868936170212768"/>
    <n v="6.2269503546099294"/>
  </r>
  <r>
    <n v="671"/>
    <n v="20"/>
    <x v="0"/>
    <x v="0"/>
    <x v="60"/>
    <n v="6.1"/>
    <x v="4"/>
    <x v="0"/>
    <n v="6.4"/>
    <n v="5"/>
    <s v="Single"/>
    <n v="8"/>
    <x v="0"/>
    <x v="2"/>
    <x v="0"/>
    <s v="Average"/>
    <n v="1"/>
    <s v="Average"/>
    <n v="0.5787234042553191"/>
    <n v="0.64255319148936174"/>
    <n v="6.868936170212768"/>
    <n v="6.2269503546099294"/>
  </r>
  <r>
    <n v="672"/>
    <n v="23"/>
    <x v="1"/>
    <x v="1"/>
    <x v="59"/>
    <n v="4.3"/>
    <x v="0"/>
    <x v="1"/>
    <n v="7.5"/>
    <n v="7"/>
    <s v="In Relationship"/>
    <n v="5"/>
    <x v="1"/>
    <x v="0"/>
    <x v="2"/>
    <s v="Healthy"/>
    <n v="0"/>
    <s v="Good"/>
    <n v="0.5787234042553191"/>
    <n v="0.64255319148936174"/>
    <n v="6.868936170212768"/>
    <n v="6.2269503546099294"/>
  </r>
  <r>
    <n v="673"/>
    <n v="21"/>
    <x v="0"/>
    <x v="0"/>
    <x v="11"/>
    <n v="6.4"/>
    <x v="2"/>
    <x v="0"/>
    <n v="6.2"/>
    <n v="5"/>
    <s v="Single"/>
    <n v="8"/>
    <x v="0"/>
    <x v="2"/>
    <x v="0"/>
    <s v="Average"/>
    <n v="1"/>
    <s v="Average"/>
    <n v="0.5787234042553191"/>
    <n v="0.64255319148936174"/>
    <n v="6.868936170212768"/>
    <n v="6.2269503546099294"/>
  </r>
  <r>
    <n v="674"/>
    <n v="24"/>
    <x v="1"/>
    <x v="1"/>
    <x v="18"/>
    <n v="4.5"/>
    <x v="1"/>
    <x v="1"/>
    <n v="7.3"/>
    <n v="7"/>
    <s v="In Relationship"/>
    <n v="5"/>
    <x v="1"/>
    <x v="0"/>
    <x v="2"/>
    <s v="Healthy"/>
    <n v="0"/>
    <s v="Good"/>
    <n v="0.5787234042553191"/>
    <n v="0.64255319148936174"/>
    <n v="6.868936170212768"/>
    <n v="6.2269503546099294"/>
  </r>
  <r>
    <n v="675"/>
    <n v="19"/>
    <x v="0"/>
    <x v="0"/>
    <x v="25"/>
    <n v="5.9"/>
    <x v="0"/>
    <x v="0"/>
    <n v="6.5"/>
    <n v="6"/>
    <s v="Single"/>
    <n v="7"/>
    <x v="0"/>
    <x v="0"/>
    <x v="0"/>
    <s v="Average"/>
    <n v="1"/>
    <s v="Average"/>
    <n v="0.5787234042553191"/>
    <n v="0.64255319148936174"/>
    <n v="6.868936170212768"/>
    <n v="6.2269503546099294"/>
  </r>
  <r>
    <n v="676"/>
    <n v="22"/>
    <x v="1"/>
    <x v="1"/>
    <x v="1"/>
    <n v="7.2"/>
    <x v="4"/>
    <x v="0"/>
    <n v="5.7"/>
    <n v="4"/>
    <s v="Single"/>
    <n v="9"/>
    <x v="1"/>
    <x v="2"/>
    <x v="0"/>
    <s v="Poor"/>
    <n v="1"/>
    <s v="Poor"/>
    <n v="0.5787234042553191"/>
    <n v="0.64255319148936174"/>
    <n v="6.868936170212768"/>
    <n v="6.2269503546099294"/>
  </r>
  <r>
    <n v="677"/>
    <n v="20"/>
    <x v="0"/>
    <x v="0"/>
    <x v="21"/>
    <n v="4.5999999999999996"/>
    <x v="2"/>
    <x v="1"/>
    <n v="7.2"/>
    <n v="7"/>
    <s v="In Relationship"/>
    <n v="5"/>
    <x v="0"/>
    <x v="0"/>
    <x v="2"/>
    <s v="Healthy"/>
    <n v="0"/>
    <s v="Good"/>
    <n v="0.5787234042553191"/>
    <n v="0.64255319148936174"/>
    <n v="6.868936170212768"/>
    <n v="6.2269503546099294"/>
  </r>
  <r>
    <n v="678"/>
    <n v="23"/>
    <x v="1"/>
    <x v="1"/>
    <x v="35"/>
    <n v="6.8"/>
    <x v="0"/>
    <x v="0"/>
    <n v="6"/>
    <n v="5"/>
    <s v="Single"/>
    <n v="8"/>
    <x v="1"/>
    <x v="2"/>
    <x v="0"/>
    <s v="Average"/>
    <n v="1"/>
    <s v="Average"/>
    <n v="0.5787234042553191"/>
    <n v="0.64255319148936174"/>
    <n v="6.868936170212768"/>
    <n v="6.2269503546099294"/>
  </r>
  <r>
    <n v="679"/>
    <n v="21"/>
    <x v="0"/>
    <x v="0"/>
    <x v="2"/>
    <n v="5.3"/>
    <x v="1"/>
    <x v="0"/>
    <n v="6.8"/>
    <n v="6"/>
    <s v="In Relationship"/>
    <n v="7"/>
    <x v="0"/>
    <x v="0"/>
    <x v="0"/>
    <s v="Average"/>
    <n v="1"/>
    <s v="Average"/>
    <n v="0.5787234042553191"/>
    <n v="0.64255319148936174"/>
    <n v="6.868936170212768"/>
    <n v="6.2269503546099294"/>
  </r>
  <r>
    <n v="680"/>
    <n v="24"/>
    <x v="1"/>
    <x v="1"/>
    <x v="13"/>
    <n v="6.2"/>
    <x v="4"/>
    <x v="0"/>
    <n v="6.3"/>
    <n v="5"/>
    <s v="Single"/>
    <n v="8"/>
    <x v="1"/>
    <x v="2"/>
    <x v="0"/>
    <s v="Average"/>
    <n v="1"/>
    <s v="Average"/>
    <n v="0.5787234042553191"/>
    <n v="0.64255319148936174"/>
    <n v="6.868936170212768"/>
    <n v="6.2269503546099294"/>
  </r>
  <r>
    <n v="681"/>
    <n v="19"/>
    <x v="0"/>
    <x v="0"/>
    <x v="10"/>
    <n v="4.7"/>
    <x v="0"/>
    <x v="1"/>
    <n v="7.2"/>
    <n v="7"/>
    <s v="In Relationship"/>
    <n v="5"/>
    <x v="0"/>
    <x v="0"/>
    <x v="2"/>
    <s v="Healthy"/>
    <n v="0"/>
    <s v="Good"/>
    <n v="0.5787234042553191"/>
    <n v="0.64255319148936174"/>
    <n v="6.868936170212768"/>
    <n v="6.2269503546099294"/>
  </r>
  <r>
    <n v="682"/>
    <n v="22"/>
    <x v="1"/>
    <x v="1"/>
    <x v="4"/>
    <n v="5.8"/>
    <x v="2"/>
    <x v="0"/>
    <n v="6.6"/>
    <n v="6"/>
    <s v="Single"/>
    <n v="7"/>
    <x v="1"/>
    <x v="0"/>
    <x v="0"/>
    <s v="Average"/>
    <n v="1"/>
    <s v="Average"/>
    <n v="0.5787234042553191"/>
    <n v="0.64255319148936174"/>
    <n v="6.868936170212768"/>
    <n v="6.2269503546099294"/>
  </r>
  <r>
    <n v="683"/>
    <n v="20"/>
    <x v="0"/>
    <x v="0"/>
    <x v="3"/>
    <n v="6.1"/>
    <x v="1"/>
    <x v="0"/>
    <n v="6.4"/>
    <n v="5"/>
    <s v="Single"/>
    <n v="8"/>
    <x v="0"/>
    <x v="2"/>
    <x v="0"/>
    <s v="Average"/>
    <n v="1"/>
    <s v="Average"/>
    <n v="0.5787234042553191"/>
    <n v="0.64255319148936174"/>
    <n v="6.868936170212768"/>
    <n v="6.2269503546099294"/>
  </r>
  <r>
    <n v="684"/>
    <n v="23"/>
    <x v="1"/>
    <x v="1"/>
    <x v="12"/>
    <n v="4.8"/>
    <x v="4"/>
    <x v="1"/>
    <n v="7.1"/>
    <n v="7"/>
    <s v="In Relationship"/>
    <n v="5"/>
    <x v="1"/>
    <x v="0"/>
    <x v="2"/>
    <s v="Healthy"/>
    <n v="0"/>
    <s v="Good"/>
    <n v="0.5787234042553191"/>
    <n v="0.64255319148936174"/>
    <n v="6.868936170212768"/>
    <n v="6.2269503546099294"/>
  </r>
  <r>
    <n v="685"/>
    <n v="21"/>
    <x v="0"/>
    <x v="0"/>
    <x v="14"/>
    <n v="6.7"/>
    <x v="0"/>
    <x v="0"/>
    <n v="6"/>
    <n v="4"/>
    <s v="Single"/>
    <n v="9"/>
    <x v="0"/>
    <x v="2"/>
    <x v="0"/>
    <s v="Average"/>
    <n v="1"/>
    <s v="Poor"/>
    <n v="0.5787234042553191"/>
    <n v="0.64255319148936174"/>
    <n v="6.868936170212768"/>
    <n v="6.2269503546099294"/>
  </r>
  <r>
    <n v="686"/>
    <n v="24"/>
    <x v="1"/>
    <x v="1"/>
    <x v="15"/>
    <n v="5.5"/>
    <x v="11"/>
    <x v="0"/>
    <n v="6.8"/>
    <n v="6"/>
    <s v="In Relationship"/>
    <n v="7"/>
    <x v="1"/>
    <x v="0"/>
    <x v="0"/>
    <s v="Average"/>
    <n v="1"/>
    <s v="Average"/>
    <n v="0.5787234042553191"/>
    <n v="0.64255319148936174"/>
    <n v="6.868936170212768"/>
    <n v="6.2269503546099294"/>
  </r>
  <r>
    <n v="687"/>
    <n v="19"/>
    <x v="0"/>
    <x v="0"/>
    <x v="8"/>
    <n v="4.2"/>
    <x v="1"/>
    <x v="1"/>
    <n v="7.5"/>
    <n v="8"/>
    <s v="Single"/>
    <n v="4"/>
    <x v="0"/>
    <x v="0"/>
    <x v="2"/>
    <s v="Healthy"/>
    <n v="0"/>
    <s v="Good"/>
    <n v="0.5787234042553191"/>
    <n v="0.64255319148936174"/>
    <n v="6.868936170212768"/>
    <n v="6.2269503546099294"/>
  </r>
  <r>
    <n v="688"/>
    <n v="22"/>
    <x v="1"/>
    <x v="1"/>
    <x v="60"/>
    <n v="6.3"/>
    <x v="2"/>
    <x v="0"/>
    <n v="6.2"/>
    <n v="5"/>
    <s v="Single"/>
    <n v="8"/>
    <x v="1"/>
    <x v="2"/>
    <x v="0"/>
    <s v="Average"/>
    <n v="1"/>
    <s v="Average"/>
    <n v="0.5787234042553191"/>
    <n v="0.64255319148936174"/>
    <n v="6.868936170212768"/>
    <n v="6.2269503546099294"/>
  </r>
  <r>
    <n v="689"/>
    <n v="20"/>
    <x v="0"/>
    <x v="0"/>
    <x v="59"/>
    <n v="4.4000000000000004"/>
    <x v="0"/>
    <x v="1"/>
    <n v="7.4"/>
    <n v="7"/>
    <s v="In Relationship"/>
    <n v="5"/>
    <x v="0"/>
    <x v="0"/>
    <x v="2"/>
    <s v="Healthy"/>
    <n v="0"/>
    <s v="Good"/>
    <n v="0.5787234042553191"/>
    <n v="0.64255319148936174"/>
    <n v="6.868936170212768"/>
    <n v="6.2269503546099294"/>
  </r>
  <r>
    <n v="690"/>
    <n v="23"/>
    <x v="1"/>
    <x v="1"/>
    <x v="11"/>
    <n v="6.5"/>
    <x v="4"/>
    <x v="0"/>
    <n v="6.1"/>
    <n v="5"/>
    <s v="Single"/>
    <n v="8"/>
    <x v="1"/>
    <x v="2"/>
    <x v="0"/>
    <s v="Average"/>
    <n v="1"/>
    <s v="Average"/>
    <n v="0.5787234042553191"/>
    <n v="0.64255319148936174"/>
    <n v="6.868936170212768"/>
    <n v="6.2269503546099294"/>
  </r>
  <r>
    <n v="691"/>
    <n v="21"/>
    <x v="0"/>
    <x v="0"/>
    <x v="18"/>
    <n v="4.5999999999999996"/>
    <x v="1"/>
    <x v="1"/>
    <n v="7.3"/>
    <n v="7"/>
    <s v="In Relationship"/>
    <n v="5"/>
    <x v="0"/>
    <x v="0"/>
    <x v="2"/>
    <s v="Healthy"/>
    <n v="0"/>
    <s v="Good"/>
    <n v="0.5787234042553191"/>
    <n v="0.64255319148936174"/>
    <n v="6.868936170212768"/>
    <n v="6.2269503546099294"/>
  </r>
  <r>
    <n v="692"/>
    <n v="24"/>
    <x v="1"/>
    <x v="1"/>
    <x v="25"/>
    <n v="5.9"/>
    <x v="0"/>
    <x v="0"/>
    <n v="6.5"/>
    <n v="6"/>
    <s v="Single"/>
    <n v="7"/>
    <x v="1"/>
    <x v="0"/>
    <x v="0"/>
    <s v="Average"/>
    <n v="1"/>
    <s v="Average"/>
    <n v="0.5787234042553191"/>
    <n v="0.64255319148936174"/>
    <n v="6.868936170212768"/>
    <n v="6.2269503546099294"/>
  </r>
  <r>
    <n v="693"/>
    <n v="19"/>
    <x v="0"/>
    <x v="0"/>
    <x v="1"/>
    <n v="7"/>
    <x v="2"/>
    <x v="0"/>
    <n v="5.8"/>
    <n v="4"/>
    <s v="Single"/>
    <n v="9"/>
    <x v="0"/>
    <x v="2"/>
    <x v="0"/>
    <s v="Poor"/>
    <n v="1"/>
    <s v="Poor"/>
    <n v="0.5787234042553191"/>
    <n v="0.64255319148936174"/>
    <n v="6.868936170212768"/>
    <n v="6.2269503546099294"/>
  </r>
  <r>
    <n v="694"/>
    <n v="22"/>
    <x v="1"/>
    <x v="1"/>
    <x v="21"/>
    <n v="4.5"/>
    <x v="4"/>
    <x v="1"/>
    <n v="7.3"/>
    <n v="7"/>
    <s v="In Relationship"/>
    <n v="5"/>
    <x v="1"/>
    <x v="0"/>
    <x v="2"/>
    <s v="Healthy"/>
    <n v="0"/>
    <s v="Good"/>
    <n v="0.5787234042553191"/>
    <n v="0.64255319148936174"/>
    <n v="6.868936170212768"/>
    <n v="6.2269503546099294"/>
  </r>
  <r>
    <n v="695"/>
    <n v="20"/>
    <x v="0"/>
    <x v="0"/>
    <x v="35"/>
    <n v="6.6"/>
    <x v="0"/>
    <x v="0"/>
    <n v="6.1"/>
    <n v="5"/>
    <s v="Single"/>
    <n v="8"/>
    <x v="0"/>
    <x v="2"/>
    <x v="0"/>
    <s v="Average"/>
    <n v="1"/>
    <s v="Average"/>
    <n v="0.5787234042553191"/>
    <n v="0.64255319148936174"/>
    <n v="6.868936170212768"/>
    <n v="6.2269503546099294"/>
  </r>
  <r>
    <n v="696"/>
    <n v="23"/>
    <x v="1"/>
    <x v="1"/>
    <x v="2"/>
    <n v="5.5"/>
    <x v="1"/>
    <x v="0"/>
    <n v="6.7"/>
    <n v="6"/>
    <s v="In Relationship"/>
    <n v="7"/>
    <x v="1"/>
    <x v="0"/>
    <x v="0"/>
    <s v="Average"/>
    <n v="1"/>
    <s v="Average"/>
    <n v="0.5787234042553191"/>
    <n v="0.64255319148936174"/>
    <n v="6.868936170212768"/>
    <n v="6.2269503546099294"/>
  </r>
  <r>
    <n v="697"/>
    <n v="21"/>
    <x v="0"/>
    <x v="0"/>
    <x v="13"/>
    <n v="6.3"/>
    <x v="2"/>
    <x v="0"/>
    <n v="6.2"/>
    <n v="5"/>
    <s v="Single"/>
    <n v="8"/>
    <x v="0"/>
    <x v="2"/>
    <x v="0"/>
    <s v="Average"/>
    <n v="1"/>
    <s v="Average"/>
    <n v="0.5787234042553191"/>
    <n v="0.64255319148936174"/>
    <n v="6.868936170212768"/>
    <n v="6.2269503546099294"/>
  </r>
  <r>
    <n v="698"/>
    <n v="24"/>
    <x v="1"/>
    <x v="1"/>
    <x v="10"/>
    <n v="4.8"/>
    <x v="4"/>
    <x v="1"/>
    <n v="7.1"/>
    <n v="7"/>
    <s v="In Relationship"/>
    <n v="5"/>
    <x v="1"/>
    <x v="0"/>
    <x v="2"/>
    <s v="Healthy"/>
    <n v="0"/>
    <s v="Good"/>
    <n v="0.5787234042553191"/>
    <n v="0.64255319148936174"/>
    <n v="6.868936170212768"/>
    <n v="6.2269503546099294"/>
  </r>
  <r>
    <n v="699"/>
    <n v="19"/>
    <x v="0"/>
    <x v="0"/>
    <x v="4"/>
    <n v="5.7"/>
    <x v="0"/>
    <x v="0"/>
    <n v="6.6"/>
    <n v="6"/>
    <s v="Single"/>
    <n v="7"/>
    <x v="0"/>
    <x v="0"/>
    <x v="0"/>
    <s v="Average"/>
    <n v="1"/>
    <s v="Average"/>
    <n v="0.5787234042553191"/>
    <n v="0.64255319148936174"/>
    <n v="6.868936170212768"/>
    <n v="6.2269503546099294"/>
  </r>
  <r>
    <n v="700"/>
    <n v="22"/>
    <x v="1"/>
    <x v="1"/>
    <x v="3"/>
    <n v="6.2"/>
    <x v="1"/>
    <x v="0"/>
    <n v="6.3"/>
    <n v="5"/>
    <s v="Single"/>
    <n v="8"/>
    <x v="1"/>
    <x v="2"/>
    <x v="0"/>
    <s v="Average"/>
    <n v="1"/>
    <s v="Average"/>
    <n v="0.5787234042553191"/>
    <n v="0.64255319148936174"/>
    <n v="6.868936170212768"/>
    <n v="6.2269503546099294"/>
  </r>
  <r>
    <n v="701"/>
    <n v="20"/>
    <x v="0"/>
    <x v="0"/>
    <x v="12"/>
    <n v="4.7"/>
    <x v="2"/>
    <x v="1"/>
    <n v="7.2"/>
    <n v="7"/>
    <s v="In Relationship"/>
    <n v="5"/>
    <x v="0"/>
    <x v="0"/>
    <x v="2"/>
    <s v="Healthy"/>
    <n v="0"/>
    <s v="Good"/>
    <n v="0.5787234042553191"/>
    <n v="0.64255319148936174"/>
    <n v="6.868936170212768"/>
    <n v="6.2269503546099294"/>
  </r>
  <r>
    <n v="702"/>
    <n v="23"/>
    <x v="1"/>
    <x v="1"/>
    <x v="14"/>
    <n v="6.8"/>
    <x v="0"/>
    <x v="0"/>
    <n v="5.9"/>
    <n v="4"/>
    <s v="Single"/>
    <n v="9"/>
    <x v="1"/>
    <x v="2"/>
    <x v="0"/>
    <s v="Poor"/>
    <n v="1"/>
    <s v="Poor"/>
    <n v="0.5787234042553191"/>
    <n v="0.64255319148936174"/>
    <n v="6.868936170212768"/>
    <n v="6.2269503546099294"/>
  </r>
  <r>
    <n v="703"/>
    <n v="21"/>
    <x v="0"/>
    <x v="0"/>
    <x v="15"/>
    <n v="5.6"/>
    <x v="11"/>
    <x v="0"/>
    <n v="6.7"/>
    <n v="6"/>
    <s v="In Relationship"/>
    <n v="7"/>
    <x v="0"/>
    <x v="0"/>
    <x v="0"/>
    <s v="Average"/>
    <n v="1"/>
    <s v="Average"/>
    <n v="0.5787234042553191"/>
    <n v="0.64255319148936174"/>
    <n v="6.868936170212768"/>
    <n v="6.2269503546099294"/>
  </r>
  <r>
    <n v="704"/>
    <n v="24"/>
    <x v="1"/>
    <x v="1"/>
    <x v="8"/>
    <n v="4.3"/>
    <x v="1"/>
    <x v="1"/>
    <n v="7.5"/>
    <n v="8"/>
    <s v="Single"/>
    <n v="4"/>
    <x v="1"/>
    <x v="0"/>
    <x v="2"/>
    <s v="Healthy"/>
    <n v="0"/>
    <s v="Good"/>
    <n v="0.5787234042553191"/>
    <n v="0.64255319148936174"/>
    <n v="6.868936170212768"/>
    <n v="6.2269503546099294"/>
  </r>
  <r>
    <n v="705"/>
    <n v="19"/>
    <x v="0"/>
    <x v="0"/>
    <x v="60"/>
    <n v="6.2"/>
    <x v="4"/>
    <x v="0"/>
    <n v="6.3"/>
    <n v="5"/>
    <s v="Single"/>
    <n v="8"/>
    <x v="0"/>
    <x v="2"/>
    <x v="0"/>
    <s v="Average"/>
    <n v="1"/>
    <s v="Average"/>
    <n v="0.5787234042553191"/>
    <n v="0.64255319148936174"/>
    <n v="6.868936170212768"/>
    <n v="6.22695035460992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0AB5E-340C-4F48-AEA6-2D2CB569D6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2">
    <pivotField dataField="1"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items count="4">
        <item x="1"/>
        <item x="2"/>
        <item x="0"/>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Items count="1">
    <i/>
  </rowItems>
  <colItems count="1">
    <i/>
  </colItems>
  <dataFields count="1">
    <dataField name="Count of Student_ID" fld="0" subtotal="count" baseField="0" baseItem="0"/>
  </dataFields>
  <formats count="1">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81FBE5-16DE-45D4-BDAB-9D96B60615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5:O20" firstHeaderRow="1" firstDataRow="1" firstDataCol="1"/>
  <pivotFields count="22">
    <pivotField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pivotField dataField="1" showAll="0"/>
    <pivotField showAll="0"/>
    <pivotField showAll="0"/>
    <pivotField showAll="0"/>
    <pivotField showAll="0">
      <items count="4">
        <item x="1"/>
        <item x="2"/>
        <item x="0"/>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3"/>
  </rowFields>
  <rowItems count="5">
    <i>
      <x v="2"/>
    </i>
    <i>
      <x v="1"/>
    </i>
    <i>
      <x/>
    </i>
    <i>
      <x v="3"/>
    </i>
    <i t="grand">
      <x/>
    </i>
  </rowItems>
  <colItems count="1">
    <i/>
  </colItems>
  <dataFields count="1">
    <dataField name="Average of Sleep_Hours_Per_Night" fld="8"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0D9D70-C309-45E7-BCD1-D0C8A825D7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5:K18" firstHeaderRow="0" firstDataRow="1" firstDataCol="1"/>
  <pivotFields count="22">
    <pivotField dataField="1"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axis="axisRow" showAll="0" sortType="descending">
      <items count="3">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3">
    <i>
      <x v="1"/>
    </i>
    <i>
      <x/>
    </i>
    <i t="grand">
      <x/>
    </i>
  </rowItems>
  <colFields count="1">
    <field x="-2"/>
  </colFields>
  <colItems count="2">
    <i>
      <x/>
    </i>
    <i i="1">
      <x v="1"/>
    </i>
  </colItems>
  <dataFields count="2">
    <dataField name="Count of Student_ID" fld="0" subtotal="count" baseField="7" baseItem="1"/>
    <dataField name="Average of Addicted_Score" fld="11" subtotal="average" baseField="7"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59423D-21BE-4358-A039-671D20B5943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2">
    <pivotField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vg_Daily_Usage_Hours" fld="5" subtotal="average" baseField="0" baseItem="0"/>
  </dataFields>
  <formats count="1">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EE0297-CA57-4A2C-8D0A-CF20D64D24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19" firstHeaderRow="1" firstDataRow="1" firstDataCol="1"/>
  <pivotFields count="22">
    <pivotField dataField="1"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pivotField showAll="0"/>
    <pivotField showAll="0"/>
    <pivotField showAll="0"/>
    <pivotField showAll="0"/>
    <pivotField showAll="0">
      <items count="4">
        <item x="1"/>
        <item x="2"/>
        <item x="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Count of Student_ID" fld="0" subtotal="count" baseField="14"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2"/>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ECD04E-A654-4B4E-93B2-AD4285846B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15:W19" firstHeaderRow="1" firstDataRow="1" firstDataCol="1"/>
  <pivotFields count="22">
    <pivotField showAll="0"/>
    <pivotField showAll="0"/>
    <pivotField showAll="0">
      <items count="3">
        <item x="0"/>
        <item x="1"/>
        <item t="default"/>
      </items>
    </pivotField>
    <pivotField axis="axisRow"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Addicted_Score" fld="11"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726914-2E44-4CBD-B5AE-62FCDE3EE7C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H5" firstHeaderRow="0" firstDataRow="1" firstDataCol="0"/>
  <pivotFields count="22">
    <pivotField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Average of Addicted_Score" fld="11" subtotal="average" baseField="0" baseItem="0"/>
    <dataField name="Min of % High Addiction Students" fld="18" subtotal="min" baseField="0" baseItem="1"/>
    <dataField name="Min of % Academic Performance Affected" fld="19" subtotal="min" baseField="0" baseItem="1"/>
    <dataField name="Min of Average Sleep Hours" fld="20" subtotal="min" baseField="0" baseItem="3"/>
    <dataField name="Min of Average Mental Health Score" fld="21" subtotal="min" baseField="0" baseItem="3"/>
  </dataFields>
  <formats count="2">
    <format dxfId="63">
      <pivotArea dataOnly="0" labelOnly="1" outline="0" axis="axisValues" fieldPosition="0"/>
    </format>
    <format dxfId="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F8A23D-A116-4E58-BC49-370FA5DECB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15:S19" firstHeaderRow="1" firstDataRow="1" firstDataCol="1"/>
  <pivotFields count="22">
    <pivotField showAll="0"/>
    <pivotField showAll="0"/>
    <pivotField showAll="0">
      <items count="3">
        <item x="0"/>
        <item x="1"/>
        <item t="default"/>
      </items>
    </pivotField>
    <pivotField axis="axisRow"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pivotField showAll="0"/>
    <pivotField dataField="1"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Mental_Health_Score" fld="9" subtotal="average" baseField="3"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9182E9-0582-4B2B-8890-5AEE141F7E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5:F28" firstHeaderRow="1" firstDataRow="1" firstDataCol="1"/>
  <pivotFields count="22">
    <pivotField showAll="0"/>
    <pivotField showAll="0"/>
    <pivotField showAll="0">
      <items count="3">
        <item x="0"/>
        <item x="1"/>
        <item t="default"/>
      </items>
    </pivotField>
    <pivotField showAll="0">
      <items count="4">
        <item x="1"/>
        <item x="2"/>
        <item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axis="axisRow" showAll="0"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13">
    <i>
      <x v="10"/>
    </i>
    <i>
      <x v="5"/>
    </i>
    <i>
      <x v="6"/>
    </i>
    <i>
      <x v="1"/>
    </i>
    <i>
      <x v="11"/>
    </i>
    <i>
      <x v="9"/>
    </i>
    <i>
      <x v="2"/>
    </i>
    <i>
      <x/>
    </i>
    <i>
      <x v="7"/>
    </i>
    <i>
      <x v="8"/>
    </i>
    <i>
      <x v="4"/>
    </i>
    <i>
      <x v="3"/>
    </i>
    <i t="grand">
      <x/>
    </i>
  </rowItems>
  <colItems count="1">
    <i/>
  </colItems>
  <dataFields count="1">
    <dataField name="Average of Addicted_Score" fld="11" subtotal="average"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692FFA4-248C-47F6-8C31-4CAED00495F9}" sourceName="Gender">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0876323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422CC2A-213B-4ACA-AC66-1D68F1DBF91A}" sourceName="Country">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087632322">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F9573002-71FA-4027-A4A0-30DF14A90D89}" sourceName="Academic_Level">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087632322">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F3E4645-5A0C-4C07-A8B1-A384AABFC655}" sourceName="Age_Group">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08763232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93AE3BFD-D0E1-40F8-B081-48DE55A136DC}" sourceName="Most_Used_Platform">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087632322">
      <items count="12">
        <i x="4" s="1"/>
        <i x="0" s="1"/>
        <i x="8" s="1"/>
        <i x="7" s="1"/>
        <i x="5" s="1"/>
        <i x="6" s="1"/>
        <i x="2" s="1"/>
        <i x="1" s="1"/>
        <i x="9" s="1"/>
        <i x="11"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7B6A98B-6E62-4152-8597-2AECEAD67584}" cache="Slicer_Gender" caption="Gender" rowHeight="247650"/>
  <slicer name="Country" xr10:uid="{DB335FBA-5BCA-457C-86B1-7F8411F36822}" cache="Slicer_Country" caption="Country" startItem="6" rowHeight="247650"/>
  <slicer name="Academic_Level" xr10:uid="{EB303B0A-803F-4C39-AA74-1F69761586CD}" cache="Slicer_Academic_Level" caption="Academic_Level" rowHeight="247650"/>
  <slicer name="Age_Group" xr10:uid="{F06B749F-1FAE-4EC0-B16C-FDD8EDD70337}" cache="Slicer_Age_Group" caption="Age_Group" rowHeight="247650"/>
  <slicer name="Most_Used_Platform" xr10:uid="{691487D4-C2F5-41E4-8E2A-14753EEC73A9}" cache="Slicer_Most_Used_Platform" caption="Most_Used_Platform" startItem="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C2C7F8B-E49C-45CA-9D08-8B52F534BA29}" cache="Slicer_Gender" caption="Gender" style="Slicer Style 1" rowHeight="247650"/>
  <slicer name="Country 1" xr10:uid="{B06B31D7-0923-4962-BFB6-B3F60F06DAEC}" cache="Slicer_Country" caption="Country" columnCount="2" style="Slicer Style 1" rowHeight="247650"/>
  <slicer name="Academic_Level 1" xr10:uid="{6CD12B76-F7BD-42F4-8384-FEC84D137087}" cache="Slicer_Academic_Level" caption="Academic_Level" style="Slicer Style 1" rowHeight="247650"/>
  <slicer name="Age_Group 1" xr10:uid="{D0435643-1002-4EE8-BBC9-86F28468CDA1}" cache="Slicer_Age_Group" caption="Age_Group" style="Slicer Style 1" rowHeight="247650"/>
  <slicer name="Most_Used_Platform 1" xr10:uid="{00A83022-1D19-46C8-8149-E1CF7BE7E3E4}" cache="Slicer_Most_Used_Platform" caption="Most_Used_Platform"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A369F-8F0E-40A8-9359-306C73E75CD4}" name="Table1" displayName="Table1" ref="A1:V706" totalsRowShown="0">
  <autoFilter ref="A1:V706" xr:uid="{16CA369F-8F0E-40A8-9359-306C73E75CD4}"/>
  <tableColumns count="22">
    <tableColumn id="1" xr3:uid="{B34282BD-2B5E-4665-B96B-2D20CA84563B}" name="Student_ID"/>
    <tableColumn id="2" xr3:uid="{278963F1-A5E2-40A1-A25C-CD6EB3D84FD3}" name="Age"/>
    <tableColumn id="3" xr3:uid="{30C3C42F-7768-4B06-8E39-3FA2F4986DC3}" name="Gender"/>
    <tableColumn id="4" xr3:uid="{3909E5F6-86A1-4155-84A9-42E2698A0830}" name="Academic_Level"/>
    <tableColumn id="5" xr3:uid="{D54FC271-54B1-40A5-8C2B-09F77EDD818F}" name="Country"/>
    <tableColumn id="6" xr3:uid="{4AE1ACF6-FBF7-4F5B-8AF7-FAFE960B5A43}" name="Avg_Daily_Usage_Hours"/>
    <tableColumn id="7" xr3:uid="{F62530E9-0C7A-4D0A-9DCB-58025BB91DE5}" name="Most_Used_Platform"/>
    <tableColumn id="8" xr3:uid="{A6ACCAD2-BBB9-45CC-96C6-EA980D8DD273}" name="Affects_Academic_Performance"/>
    <tableColumn id="9" xr3:uid="{DCBC46C9-0508-4670-97E5-ABCFB5D58034}" name="Sleep_Hours_Per_Night"/>
    <tableColumn id="10" xr3:uid="{B4BFA826-57D4-4B55-8782-02783D6CD4F1}" name="Mental_Health_Score"/>
    <tableColumn id="11" xr3:uid="{D352D342-FA5A-41C5-95AC-FF78173F3232}" name="Relationship_Status"/>
    <tableColumn id="12" xr3:uid="{B0B0E384-8BDA-4385-A778-9029CA838908}" name="Addicted_Score"/>
    <tableColumn id="13" xr3:uid="{30E3C856-FA81-4288-BA3D-2AE8725E3F95}" name="Age_Group" dataDxfId="73">
      <calculatedColumnFormula>IF(Table1[[#This Row],[Age]]&lt;=18,"Teen",IF(Table1[[#This Row],[Age]]&lt;=21,"Young Adult","Adult"))</calculatedColumnFormula>
    </tableColumn>
    <tableColumn id="14" xr3:uid="{E12407AD-3280-4540-9753-C8845B9337F6}" name="Usage Category" dataDxfId="72">
      <calculatedColumnFormula>IF(F2&lt;2,"Low",
IF(F2&lt;4,"Moderate",
IF(F2&lt;6,"High","Very High")))</calculatedColumnFormula>
    </tableColumn>
    <tableColumn id="15" xr3:uid="{447EB65C-B5AB-458C-9319-D44F30121F38}" name="Addiction Level" dataDxfId="71">
      <calculatedColumnFormula>IF(L2&lt;=3,"Low",
IF(L2&lt;=6,"Medium","High"))</calculatedColumnFormula>
    </tableColumn>
    <tableColumn id="16" xr3:uid="{714058E8-F02B-4270-9DB8-BB28D2EBAB55}" name="Sleep Quality" dataDxfId="70">
      <calculatedColumnFormula>IF(I2&lt;6,"Poor",
IF(I2&lt;=7,"Average","Healthy"))</calculatedColumnFormula>
    </tableColumn>
    <tableColumn id="17" xr3:uid="{CBEFF3E7-5A79-4680-8C50-FD6B70F9E39F}" name="Academic Impact Flag" dataDxfId="69">
      <calculatedColumnFormula>IF(H2="Yes",1,0)</calculatedColumnFormula>
    </tableColumn>
    <tableColumn id="18" xr3:uid="{E4CD47D3-B253-43B1-B179-80DBF4FF9601}" name="Mental Health Status" dataDxfId="68">
      <calculatedColumnFormula>IF(J2&lt;=4,"Poor",
IF(J2&lt;=6,"Average","Good"))</calculatedColumnFormula>
    </tableColumn>
    <tableColumn id="19" xr3:uid="{46FC1706-BA30-4C8F-8F66-200E5F37D0F5}" name="% High Addiction Students" dataDxfId="67">
      <calculatedColumnFormula>COUNTIF('Students Social Media Addiction'!O:O,"High")/COUNTA(Table1[Student_ID])</calculatedColumnFormula>
    </tableColumn>
    <tableColumn id="20" xr3:uid="{5EB71A7C-0BE4-4C39-A68A-77EB86486E69}" name="% Academic Performance Affected" dataDxfId="66">
      <calculatedColumnFormula>AVERAGE(Table1[Academic Impact Flag])</calculatedColumnFormula>
    </tableColumn>
    <tableColumn id="21" xr3:uid="{B0616EC8-B40A-439A-953E-4908D736A44F}" name="Average Sleep Hours" dataDxfId="65">
      <calculatedColumnFormula>AVERAGE(Table1[Sleep_Hours_Per_Night])</calculatedColumnFormula>
    </tableColumn>
    <tableColumn id="22" xr3:uid="{BFBAC383-8CC5-429F-8EC3-F31ED1B94FB1}" name="Average Mental Health Score" dataDxfId="64">
      <calculatedColumnFormula>AVERAGE(Table1[Mental_Health_Score])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38CA-57E3-4015-8A2C-4C4DE28D5D1F}">
  <dimension ref="A1:V706"/>
  <sheetViews>
    <sheetView topLeftCell="M1" zoomScale="94" workbookViewId="0">
      <selection activeCell="Q24" sqref="Q24"/>
    </sheetView>
  </sheetViews>
  <sheetFormatPr defaultRowHeight="14.4" x14ac:dyDescent="0.3"/>
  <cols>
    <col min="1" max="1" width="12.33203125" bestFit="1" customWidth="1"/>
    <col min="2" max="2" width="6.21875" bestFit="1" customWidth="1"/>
    <col min="3" max="3" width="9.33203125" bestFit="1" customWidth="1"/>
    <col min="4" max="4" width="16.88671875" bestFit="1" customWidth="1"/>
    <col min="5" max="5" width="14.88671875" bestFit="1" customWidth="1"/>
    <col min="6" max="6" width="22.77734375" bestFit="1" customWidth="1"/>
    <col min="7" max="7" width="20.44140625" bestFit="1" customWidth="1"/>
    <col min="8" max="8" width="30.109375" bestFit="1" customWidth="1"/>
    <col min="9" max="9" width="22.6640625" bestFit="1" customWidth="1"/>
    <col min="10" max="10" width="21" bestFit="1" customWidth="1"/>
    <col min="11" max="11" width="20" bestFit="1" customWidth="1"/>
    <col min="12" max="12" width="16.5546875" bestFit="1" customWidth="1"/>
    <col min="13" max="13" width="13.109375" bestFit="1" customWidth="1"/>
    <col min="14" max="14" width="17.44140625" bestFit="1" customWidth="1"/>
    <col min="15" max="15" width="17" bestFit="1" customWidth="1"/>
    <col min="16" max="16" width="15.21875" bestFit="1" customWidth="1"/>
    <col min="17" max="17" width="22.6640625" bestFit="1" customWidth="1"/>
    <col min="18" max="18" width="21.6640625" bestFit="1" customWidth="1"/>
    <col min="19" max="19" width="25.44140625" bestFit="1" customWidth="1"/>
    <col min="20" max="20" width="32.44140625" bestFit="1" customWidth="1"/>
    <col min="21" max="21" width="21" bestFit="1" customWidth="1"/>
    <col min="22" max="22" width="27.6640625" bestFit="1" customWidth="1"/>
  </cols>
  <sheetData>
    <row r="1" spans="1:22" x14ac:dyDescent="0.3">
      <c r="A1" t="s">
        <v>0</v>
      </c>
      <c r="B1" t="s">
        <v>1</v>
      </c>
      <c r="C1" t="s">
        <v>2</v>
      </c>
      <c r="D1" t="s">
        <v>3</v>
      </c>
      <c r="E1" t="s">
        <v>4</v>
      </c>
      <c r="F1" t="s">
        <v>5</v>
      </c>
      <c r="G1" t="s">
        <v>6</v>
      </c>
      <c r="H1" t="s">
        <v>7</v>
      </c>
      <c r="I1" t="s">
        <v>8</v>
      </c>
      <c r="J1" t="s">
        <v>9</v>
      </c>
      <c r="K1" t="s">
        <v>10</v>
      </c>
      <c r="L1" t="s">
        <v>11</v>
      </c>
      <c r="M1" s="1" t="s">
        <v>144</v>
      </c>
      <c r="N1" s="1" t="s">
        <v>145</v>
      </c>
      <c r="O1" s="1" t="s">
        <v>146</v>
      </c>
      <c r="P1" s="1" t="s">
        <v>147</v>
      </c>
      <c r="Q1" s="1" t="s">
        <v>148</v>
      </c>
      <c r="R1" s="1" t="s">
        <v>149</v>
      </c>
      <c r="S1" s="13" t="s">
        <v>172</v>
      </c>
      <c r="T1" s="13" t="s">
        <v>173</v>
      </c>
      <c r="U1" s="13" t="s">
        <v>174</v>
      </c>
      <c r="V1" s="13" t="s">
        <v>175</v>
      </c>
    </row>
    <row r="2" spans="1:22" x14ac:dyDescent="0.3">
      <c r="A2">
        <v>1</v>
      </c>
      <c r="B2">
        <v>19</v>
      </c>
      <c r="C2" t="s">
        <v>12</v>
      </c>
      <c r="D2" t="s">
        <v>13</v>
      </c>
      <c r="E2" t="s">
        <v>14</v>
      </c>
      <c r="F2">
        <v>5.2</v>
      </c>
      <c r="G2" t="s">
        <v>15</v>
      </c>
      <c r="H2" t="s">
        <v>16</v>
      </c>
      <c r="I2">
        <v>6.5</v>
      </c>
      <c r="J2">
        <v>6</v>
      </c>
      <c r="K2" t="s">
        <v>17</v>
      </c>
      <c r="L2">
        <v>8</v>
      </c>
      <c r="M2" t="str">
        <f>IF(Table1[[#This Row],[Age]]&lt;=18,"Teen",IF(Table1[[#This Row],[Age]]&lt;=21,"Young Adult","Adult"))</f>
        <v>Young Adult</v>
      </c>
      <c r="N2" t="str">
        <f t="shared" ref="N2:N65" si="0">IF(F2&lt;2,"Low",
IF(F2&lt;4,"Moderate",
IF(F2&lt;6,"High","Very High")))</f>
        <v>High</v>
      </c>
      <c r="O2" t="str">
        <f t="shared" ref="O2:O65" si="1">IF(L2&lt;=3,"Low",
IF(L2&lt;=6,"Medium","High"))</f>
        <v>High</v>
      </c>
      <c r="P2" t="str">
        <f t="shared" ref="P2:P65" si="2">IF(I2&lt;6,"Poor",
IF(I2&lt;=7,"Average","Healthy"))</f>
        <v>Average</v>
      </c>
      <c r="Q2">
        <f t="shared" ref="Q2:Q65" si="3">IF(H2="Yes",1,0)</f>
        <v>1</v>
      </c>
      <c r="R2" t="str">
        <f t="shared" ref="R2:R65" si="4">IF(J2&lt;=4,"Poor",
IF(J2&lt;=6,"Average","Good"))</f>
        <v>Average</v>
      </c>
      <c r="S2">
        <f>COUNTIF('Students Social Media Addiction'!O:O,"High")/COUNTA(Table1[Student_ID])</f>
        <v>0.5787234042553191</v>
      </c>
      <c r="T2">
        <f>AVERAGE(Table1[Academic Impact Flag])</f>
        <v>0.64255319148936174</v>
      </c>
      <c r="U2">
        <f>AVERAGE(Table1[Sleep_Hours_Per_Night])</f>
        <v>6.868936170212768</v>
      </c>
      <c r="V2">
        <f>AVERAGE(Table1[Mental_Health_Score])</f>
        <v>6.2269503546099294</v>
      </c>
    </row>
    <row r="3" spans="1:22" x14ac:dyDescent="0.3">
      <c r="A3">
        <v>2</v>
      </c>
      <c r="B3">
        <v>22</v>
      </c>
      <c r="C3" t="s">
        <v>18</v>
      </c>
      <c r="D3" t="s">
        <v>19</v>
      </c>
      <c r="E3" t="s">
        <v>20</v>
      </c>
      <c r="F3">
        <v>2.1</v>
      </c>
      <c r="G3" t="s">
        <v>21</v>
      </c>
      <c r="H3" t="s">
        <v>22</v>
      </c>
      <c r="I3">
        <v>7.5</v>
      </c>
      <c r="J3">
        <v>8</v>
      </c>
      <c r="K3" t="s">
        <v>23</v>
      </c>
      <c r="L3">
        <v>3</v>
      </c>
      <c r="M3" t="str">
        <f>IF(Table1[[#This Row],[Age]]&lt;=18,"Teen",IF(Table1[[#This Row],[Age]]&lt;=21,"Young Adult","Adult"))</f>
        <v>Adult</v>
      </c>
      <c r="N3" t="str">
        <f t="shared" si="0"/>
        <v>Moderate</v>
      </c>
      <c r="O3" t="str">
        <f t="shared" si="1"/>
        <v>Low</v>
      </c>
      <c r="P3" t="str">
        <f t="shared" si="2"/>
        <v>Healthy</v>
      </c>
      <c r="Q3">
        <f t="shared" si="3"/>
        <v>0</v>
      </c>
      <c r="R3" t="str">
        <f t="shared" si="4"/>
        <v>Good</v>
      </c>
      <c r="S3">
        <f>COUNTIF('Students Social Media Addiction'!O:O,"High")/COUNTA(Table1[Student_ID])</f>
        <v>0.5787234042553191</v>
      </c>
      <c r="T3">
        <f>AVERAGE(Table1[Academic Impact Flag])</f>
        <v>0.64255319148936174</v>
      </c>
      <c r="U3">
        <f>AVERAGE(Table1[Sleep_Hours_Per_Night])</f>
        <v>6.868936170212768</v>
      </c>
      <c r="V3">
        <f>AVERAGE(Table1[Mental_Health_Score])</f>
        <v>6.2269503546099294</v>
      </c>
    </row>
    <row r="4" spans="1:22" x14ac:dyDescent="0.3">
      <c r="A4">
        <v>3</v>
      </c>
      <c r="B4">
        <v>20</v>
      </c>
      <c r="C4" t="s">
        <v>12</v>
      </c>
      <c r="D4" t="s">
        <v>13</v>
      </c>
      <c r="E4" t="s">
        <v>24</v>
      </c>
      <c r="F4">
        <v>6</v>
      </c>
      <c r="G4" t="s">
        <v>25</v>
      </c>
      <c r="H4" t="s">
        <v>16</v>
      </c>
      <c r="I4">
        <v>5</v>
      </c>
      <c r="J4">
        <v>5</v>
      </c>
      <c r="K4" t="s">
        <v>26</v>
      </c>
      <c r="L4">
        <v>9</v>
      </c>
      <c r="M4" t="str">
        <f>IF(Table1[[#This Row],[Age]]&lt;=18,"Teen",IF(Table1[[#This Row],[Age]]&lt;=21,"Young Adult","Adult"))</f>
        <v>Young Adult</v>
      </c>
      <c r="N4" t="str">
        <f t="shared" si="0"/>
        <v>Very High</v>
      </c>
      <c r="O4" t="str">
        <f t="shared" si="1"/>
        <v>High</v>
      </c>
      <c r="P4" t="str">
        <f t="shared" si="2"/>
        <v>Poor</v>
      </c>
      <c r="Q4">
        <f t="shared" si="3"/>
        <v>1</v>
      </c>
      <c r="R4" t="str">
        <f t="shared" si="4"/>
        <v>Average</v>
      </c>
      <c r="S4">
        <f>COUNTIF('Students Social Media Addiction'!O:O,"High")/COUNTA(Table1[Student_ID])</f>
        <v>0.5787234042553191</v>
      </c>
      <c r="T4">
        <f>AVERAGE(Table1[Academic Impact Flag])</f>
        <v>0.64255319148936174</v>
      </c>
      <c r="U4">
        <f>AVERAGE(Table1[Sleep_Hours_Per_Night])</f>
        <v>6.868936170212768</v>
      </c>
      <c r="V4">
        <f>AVERAGE(Table1[Mental_Health_Score])</f>
        <v>6.2269503546099294</v>
      </c>
    </row>
    <row r="5" spans="1:22" x14ac:dyDescent="0.3">
      <c r="A5">
        <v>4</v>
      </c>
      <c r="B5">
        <v>18</v>
      </c>
      <c r="C5" t="s">
        <v>18</v>
      </c>
      <c r="D5" t="s">
        <v>27</v>
      </c>
      <c r="E5" t="s">
        <v>28</v>
      </c>
      <c r="F5">
        <v>3</v>
      </c>
      <c r="G5" t="s">
        <v>29</v>
      </c>
      <c r="H5" t="s">
        <v>22</v>
      </c>
      <c r="I5">
        <v>7</v>
      </c>
      <c r="J5">
        <v>7</v>
      </c>
      <c r="K5" t="s">
        <v>23</v>
      </c>
      <c r="L5">
        <v>4</v>
      </c>
      <c r="M5" t="str">
        <f>IF(Table1[[#This Row],[Age]]&lt;=18,"Teen",IF(Table1[[#This Row],[Age]]&lt;=21,"Young Adult","Adult"))</f>
        <v>Teen</v>
      </c>
      <c r="N5" t="str">
        <f t="shared" si="0"/>
        <v>Moderate</v>
      </c>
      <c r="O5" t="str">
        <f t="shared" si="1"/>
        <v>Medium</v>
      </c>
      <c r="P5" t="str">
        <f t="shared" si="2"/>
        <v>Average</v>
      </c>
      <c r="Q5">
        <f t="shared" si="3"/>
        <v>0</v>
      </c>
      <c r="R5" t="str">
        <f t="shared" si="4"/>
        <v>Good</v>
      </c>
      <c r="S5">
        <f>COUNTIF('Students Social Media Addiction'!O:O,"High")/COUNTA(Table1[Student_ID])</f>
        <v>0.5787234042553191</v>
      </c>
      <c r="T5">
        <f>AVERAGE(Table1[Academic Impact Flag])</f>
        <v>0.64255319148936174</v>
      </c>
      <c r="U5">
        <f>AVERAGE(Table1[Sleep_Hours_Per_Night])</f>
        <v>6.868936170212768</v>
      </c>
      <c r="V5">
        <f>AVERAGE(Table1[Mental_Health_Score])</f>
        <v>6.2269503546099294</v>
      </c>
    </row>
    <row r="6" spans="1:22" x14ac:dyDescent="0.3">
      <c r="A6">
        <v>5</v>
      </c>
      <c r="B6">
        <v>21</v>
      </c>
      <c r="C6" t="s">
        <v>18</v>
      </c>
      <c r="D6" t="s">
        <v>19</v>
      </c>
      <c r="E6" t="s">
        <v>30</v>
      </c>
      <c r="F6">
        <v>4.5</v>
      </c>
      <c r="G6" t="s">
        <v>31</v>
      </c>
      <c r="H6" t="s">
        <v>16</v>
      </c>
      <c r="I6">
        <v>6</v>
      </c>
      <c r="J6">
        <v>6</v>
      </c>
      <c r="K6" t="s">
        <v>17</v>
      </c>
      <c r="L6">
        <v>7</v>
      </c>
      <c r="M6" t="str">
        <f>IF(Table1[[#This Row],[Age]]&lt;=18,"Teen",IF(Table1[[#This Row],[Age]]&lt;=21,"Young Adult","Adult"))</f>
        <v>Young Adult</v>
      </c>
      <c r="N6" t="str">
        <f t="shared" si="0"/>
        <v>High</v>
      </c>
      <c r="O6" t="str">
        <f t="shared" si="1"/>
        <v>High</v>
      </c>
      <c r="P6" t="str">
        <f t="shared" si="2"/>
        <v>Average</v>
      </c>
      <c r="Q6">
        <f t="shared" si="3"/>
        <v>1</v>
      </c>
      <c r="R6" t="str">
        <f t="shared" si="4"/>
        <v>Average</v>
      </c>
      <c r="S6">
        <f>COUNTIF('Students Social Media Addiction'!O:O,"High")/COUNTA(Table1[Student_ID])</f>
        <v>0.5787234042553191</v>
      </c>
      <c r="T6">
        <f>AVERAGE(Table1[Academic Impact Flag])</f>
        <v>0.64255319148936174</v>
      </c>
      <c r="U6">
        <f>AVERAGE(Table1[Sleep_Hours_Per_Night])</f>
        <v>6.868936170212768</v>
      </c>
      <c r="V6">
        <f>AVERAGE(Table1[Mental_Health_Score])</f>
        <v>6.2269503546099294</v>
      </c>
    </row>
    <row r="7" spans="1:22" x14ac:dyDescent="0.3">
      <c r="A7">
        <v>6</v>
      </c>
      <c r="B7">
        <v>19</v>
      </c>
      <c r="C7" t="s">
        <v>12</v>
      </c>
      <c r="D7" t="s">
        <v>13</v>
      </c>
      <c r="E7" t="s">
        <v>32</v>
      </c>
      <c r="F7">
        <v>7.2</v>
      </c>
      <c r="G7" t="s">
        <v>15</v>
      </c>
      <c r="H7" t="s">
        <v>16</v>
      </c>
      <c r="I7">
        <v>4.5</v>
      </c>
      <c r="J7">
        <v>4</v>
      </c>
      <c r="K7" t="s">
        <v>26</v>
      </c>
      <c r="L7">
        <v>9</v>
      </c>
      <c r="M7" t="str">
        <f>IF(Table1[[#This Row],[Age]]&lt;=18,"Teen",IF(Table1[[#This Row],[Age]]&lt;=21,"Young Adult","Adult"))</f>
        <v>Young Adult</v>
      </c>
      <c r="N7" t="str">
        <f t="shared" si="0"/>
        <v>Very High</v>
      </c>
      <c r="O7" t="str">
        <f t="shared" si="1"/>
        <v>High</v>
      </c>
      <c r="P7" t="str">
        <f t="shared" si="2"/>
        <v>Poor</v>
      </c>
      <c r="Q7">
        <f t="shared" si="3"/>
        <v>1</v>
      </c>
      <c r="R7" t="str">
        <f t="shared" si="4"/>
        <v>Poor</v>
      </c>
      <c r="S7">
        <f>COUNTIF('Students Social Media Addiction'!O:O,"High")/COUNTA(Table1[Student_ID])</f>
        <v>0.5787234042553191</v>
      </c>
      <c r="T7">
        <f>AVERAGE(Table1[Academic Impact Flag])</f>
        <v>0.64255319148936174</v>
      </c>
      <c r="U7">
        <f>AVERAGE(Table1[Sleep_Hours_Per_Night])</f>
        <v>6.868936170212768</v>
      </c>
      <c r="V7">
        <f>AVERAGE(Table1[Mental_Health_Score])</f>
        <v>6.2269503546099294</v>
      </c>
    </row>
    <row r="8" spans="1:22" x14ac:dyDescent="0.3">
      <c r="A8">
        <v>7</v>
      </c>
      <c r="B8">
        <v>23</v>
      </c>
      <c r="C8" t="s">
        <v>18</v>
      </c>
      <c r="D8" t="s">
        <v>19</v>
      </c>
      <c r="E8" t="s">
        <v>33</v>
      </c>
      <c r="F8">
        <v>1.5</v>
      </c>
      <c r="G8" t="s">
        <v>34</v>
      </c>
      <c r="H8" t="s">
        <v>22</v>
      </c>
      <c r="I8">
        <v>8</v>
      </c>
      <c r="J8">
        <v>9</v>
      </c>
      <c r="K8" t="s">
        <v>23</v>
      </c>
      <c r="L8">
        <v>2</v>
      </c>
      <c r="M8" t="str">
        <f>IF(Table1[[#This Row],[Age]]&lt;=18,"Teen",IF(Table1[[#This Row],[Age]]&lt;=21,"Young Adult","Adult"))</f>
        <v>Adult</v>
      </c>
      <c r="N8" t="str">
        <f t="shared" si="0"/>
        <v>Low</v>
      </c>
      <c r="O8" t="str">
        <f t="shared" si="1"/>
        <v>Low</v>
      </c>
      <c r="P8" t="str">
        <f t="shared" si="2"/>
        <v>Healthy</v>
      </c>
      <c r="Q8">
        <f t="shared" si="3"/>
        <v>0</v>
      </c>
      <c r="R8" t="str">
        <f t="shared" si="4"/>
        <v>Good</v>
      </c>
      <c r="S8">
        <f>COUNTIF('Students Social Media Addiction'!O:O,"High")/COUNTA(Table1[Student_ID])</f>
        <v>0.5787234042553191</v>
      </c>
      <c r="T8">
        <f>AVERAGE(Table1[Academic Impact Flag])</f>
        <v>0.64255319148936174</v>
      </c>
      <c r="U8">
        <f>AVERAGE(Table1[Sleep_Hours_Per_Night])</f>
        <v>6.868936170212768</v>
      </c>
      <c r="V8">
        <f>AVERAGE(Table1[Mental_Health_Score])</f>
        <v>6.2269503546099294</v>
      </c>
    </row>
    <row r="9" spans="1:22" x14ac:dyDescent="0.3">
      <c r="A9">
        <v>8</v>
      </c>
      <c r="B9">
        <v>20</v>
      </c>
      <c r="C9" t="s">
        <v>12</v>
      </c>
      <c r="D9" t="s">
        <v>13</v>
      </c>
      <c r="E9" t="s">
        <v>35</v>
      </c>
      <c r="F9">
        <v>5.8</v>
      </c>
      <c r="G9" t="s">
        <v>36</v>
      </c>
      <c r="H9" t="s">
        <v>16</v>
      </c>
      <c r="I9">
        <v>6</v>
      </c>
      <c r="J9">
        <v>6</v>
      </c>
      <c r="K9" t="s">
        <v>17</v>
      </c>
      <c r="L9">
        <v>8</v>
      </c>
      <c r="M9" t="str">
        <f>IF(Table1[[#This Row],[Age]]&lt;=18,"Teen",IF(Table1[[#This Row],[Age]]&lt;=21,"Young Adult","Adult"))</f>
        <v>Young Adult</v>
      </c>
      <c r="N9" t="str">
        <f t="shared" si="0"/>
        <v>High</v>
      </c>
      <c r="O9" t="str">
        <f t="shared" si="1"/>
        <v>High</v>
      </c>
      <c r="P9" t="str">
        <f t="shared" si="2"/>
        <v>Average</v>
      </c>
      <c r="Q9">
        <f t="shared" si="3"/>
        <v>1</v>
      </c>
      <c r="R9" t="str">
        <f t="shared" si="4"/>
        <v>Average</v>
      </c>
      <c r="S9">
        <f>COUNTIF('Students Social Media Addiction'!O:O,"High")/COUNTA(Table1[Student_ID])</f>
        <v>0.5787234042553191</v>
      </c>
      <c r="T9">
        <f>AVERAGE(Table1[Academic Impact Flag])</f>
        <v>0.64255319148936174</v>
      </c>
      <c r="U9">
        <f>AVERAGE(Table1[Sleep_Hours_Per_Night])</f>
        <v>6.868936170212768</v>
      </c>
      <c r="V9">
        <f>AVERAGE(Table1[Mental_Health_Score])</f>
        <v>6.2269503546099294</v>
      </c>
    </row>
    <row r="10" spans="1:22" x14ac:dyDescent="0.3">
      <c r="A10">
        <v>9</v>
      </c>
      <c r="B10">
        <v>18</v>
      </c>
      <c r="C10" t="s">
        <v>18</v>
      </c>
      <c r="D10" t="s">
        <v>27</v>
      </c>
      <c r="E10" t="s">
        <v>37</v>
      </c>
      <c r="F10">
        <v>4</v>
      </c>
      <c r="G10" t="s">
        <v>25</v>
      </c>
      <c r="H10" t="s">
        <v>22</v>
      </c>
      <c r="I10">
        <v>6.5</v>
      </c>
      <c r="J10">
        <v>7</v>
      </c>
      <c r="K10" t="s">
        <v>23</v>
      </c>
      <c r="L10">
        <v>5</v>
      </c>
      <c r="M10" t="str">
        <f>IF(Table1[[#This Row],[Age]]&lt;=18,"Teen",IF(Table1[[#This Row],[Age]]&lt;=21,"Young Adult","Adult"))</f>
        <v>Teen</v>
      </c>
      <c r="N10" t="str">
        <f t="shared" si="0"/>
        <v>High</v>
      </c>
      <c r="O10" t="str">
        <f t="shared" si="1"/>
        <v>Medium</v>
      </c>
      <c r="P10" t="str">
        <f t="shared" si="2"/>
        <v>Average</v>
      </c>
      <c r="Q10">
        <f t="shared" si="3"/>
        <v>0</v>
      </c>
      <c r="R10" t="str">
        <f t="shared" si="4"/>
        <v>Good</v>
      </c>
      <c r="S10">
        <f>COUNTIF('Students Social Media Addiction'!O:O,"High")/COUNTA(Table1[Student_ID])</f>
        <v>0.5787234042553191</v>
      </c>
      <c r="T10">
        <f>AVERAGE(Table1[Academic Impact Flag])</f>
        <v>0.64255319148936174</v>
      </c>
      <c r="U10">
        <f>AVERAGE(Table1[Sleep_Hours_Per_Night])</f>
        <v>6.868936170212768</v>
      </c>
      <c r="V10">
        <f>AVERAGE(Table1[Mental_Health_Score])</f>
        <v>6.2269503546099294</v>
      </c>
    </row>
    <row r="11" spans="1:22" x14ac:dyDescent="0.3">
      <c r="A11">
        <v>10</v>
      </c>
      <c r="B11">
        <v>21</v>
      </c>
      <c r="C11" t="s">
        <v>12</v>
      </c>
      <c r="D11" t="s">
        <v>19</v>
      </c>
      <c r="E11" t="s">
        <v>38</v>
      </c>
      <c r="F11">
        <v>3.3</v>
      </c>
      <c r="G11" t="s">
        <v>15</v>
      </c>
      <c r="H11" t="s">
        <v>22</v>
      </c>
      <c r="I11">
        <v>7</v>
      </c>
      <c r="J11">
        <v>7</v>
      </c>
      <c r="K11" t="s">
        <v>17</v>
      </c>
      <c r="L11">
        <v>4</v>
      </c>
      <c r="M11" t="str">
        <f>IF(Table1[[#This Row],[Age]]&lt;=18,"Teen",IF(Table1[[#This Row],[Age]]&lt;=21,"Young Adult","Adult"))</f>
        <v>Young Adult</v>
      </c>
      <c r="N11" t="str">
        <f t="shared" si="0"/>
        <v>Moderate</v>
      </c>
      <c r="O11" t="str">
        <f t="shared" si="1"/>
        <v>Medium</v>
      </c>
      <c r="P11" t="str">
        <f t="shared" si="2"/>
        <v>Average</v>
      </c>
      <c r="Q11">
        <f t="shared" si="3"/>
        <v>0</v>
      </c>
      <c r="R11" t="str">
        <f t="shared" si="4"/>
        <v>Good</v>
      </c>
      <c r="S11">
        <f>COUNTIF('Students Social Media Addiction'!O:O,"High")/COUNTA(Table1[Student_ID])</f>
        <v>0.5787234042553191</v>
      </c>
      <c r="T11">
        <f>AVERAGE(Table1[Academic Impact Flag])</f>
        <v>0.64255319148936174</v>
      </c>
      <c r="U11">
        <f>AVERAGE(Table1[Sleep_Hours_Per_Night])</f>
        <v>6.868936170212768</v>
      </c>
      <c r="V11">
        <f>AVERAGE(Table1[Mental_Health_Score])</f>
        <v>6.2269503546099294</v>
      </c>
    </row>
    <row r="12" spans="1:22" x14ac:dyDescent="0.3">
      <c r="A12">
        <v>11</v>
      </c>
      <c r="B12">
        <v>19</v>
      </c>
      <c r="C12" t="s">
        <v>18</v>
      </c>
      <c r="D12" t="s">
        <v>13</v>
      </c>
      <c r="E12" t="s">
        <v>39</v>
      </c>
      <c r="F12">
        <v>4.8</v>
      </c>
      <c r="G12" t="s">
        <v>36</v>
      </c>
      <c r="H12" t="s">
        <v>16</v>
      </c>
      <c r="I12">
        <v>6.2</v>
      </c>
      <c r="J12">
        <v>5</v>
      </c>
      <c r="K12" t="s">
        <v>26</v>
      </c>
      <c r="L12">
        <v>7</v>
      </c>
      <c r="M12" t="str">
        <f>IF(Table1[[#This Row],[Age]]&lt;=18,"Teen",IF(Table1[[#This Row],[Age]]&lt;=21,"Young Adult","Adult"))</f>
        <v>Young Adult</v>
      </c>
      <c r="N12" t="str">
        <f t="shared" si="0"/>
        <v>High</v>
      </c>
      <c r="O12" t="str">
        <f t="shared" si="1"/>
        <v>High</v>
      </c>
      <c r="P12" t="str">
        <f t="shared" si="2"/>
        <v>Average</v>
      </c>
      <c r="Q12">
        <f t="shared" si="3"/>
        <v>1</v>
      </c>
      <c r="R12" t="str">
        <f t="shared" si="4"/>
        <v>Average</v>
      </c>
      <c r="S12">
        <f>COUNTIF('Students Social Media Addiction'!O:O,"High")/COUNTA(Table1[Student_ID])</f>
        <v>0.5787234042553191</v>
      </c>
      <c r="T12">
        <f>AVERAGE(Table1[Academic Impact Flag])</f>
        <v>0.64255319148936174</v>
      </c>
      <c r="U12">
        <f>AVERAGE(Table1[Sleep_Hours_Per_Night])</f>
        <v>6.868936170212768</v>
      </c>
      <c r="V12">
        <f>AVERAGE(Table1[Mental_Health_Score])</f>
        <v>6.2269503546099294</v>
      </c>
    </row>
    <row r="13" spans="1:22" x14ac:dyDescent="0.3">
      <c r="A13">
        <v>12</v>
      </c>
      <c r="B13">
        <v>20</v>
      </c>
      <c r="C13" t="s">
        <v>12</v>
      </c>
      <c r="D13" t="s">
        <v>13</v>
      </c>
      <c r="E13" t="s">
        <v>40</v>
      </c>
      <c r="F13">
        <v>5.5</v>
      </c>
      <c r="G13" t="s">
        <v>25</v>
      </c>
      <c r="H13" t="s">
        <v>16</v>
      </c>
      <c r="I13">
        <v>5.8</v>
      </c>
      <c r="J13">
        <v>6</v>
      </c>
      <c r="K13" t="s">
        <v>17</v>
      </c>
      <c r="L13">
        <v>8</v>
      </c>
      <c r="M13" t="str">
        <f>IF(Table1[[#This Row],[Age]]&lt;=18,"Teen",IF(Table1[[#This Row],[Age]]&lt;=21,"Young Adult","Adult"))</f>
        <v>Young Adult</v>
      </c>
      <c r="N13" t="str">
        <f t="shared" si="0"/>
        <v>High</v>
      </c>
      <c r="O13" t="str">
        <f t="shared" si="1"/>
        <v>High</v>
      </c>
      <c r="P13" t="str">
        <f t="shared" si="2"/>
        <v>Poor</v>
      </c>
      <c r="Q13">
        <f t="shared" si="3"/>
        <v>1</v>
      </c>
      <c r="R13" t="str">
        <f t="shared" si="4"/>
        <v>Average</v>
      </c>
      <c r="S13">
        <f>COUNTIF('Students Social Media Addiction'!O:O,"High")/COUNTA(Table1[Student_ID])</f>
        <v>0.5787234042553191</v>
      </c>
      <c r="T13">
        <f>AVERAGE(Table1[Academic Impact Flag])</f>
        <v>0.64255319148936174</v>
      </c>
      <c r="U13">
        <f>AVERAGE(Table1[Sleep_Hours_Per_Night])</f>
        <v>6.868936170212768</v>
      </c>
      <c r="V13">
        <f>AVERAGE(Table1[Mental_Health_Score])</f>
        <v>6.2269503546099294</v>
      </c>
    </row>
    <row r="14" spans="1:22" x14ac:dyDescent="0.3">
      <c r="A14">
        <v>13</v>
      </c>
      <c r="B14">
        <v>22</v>
      </c>
      <c r="C14" t="s">
        <v>18</v>
      </c>
      <c r="D14" t="s">
        <v>19</v>
      </c>
      <c r="E14" t="s">
        <v>41</v>
      </c>
      <c r="F14">
        <v>2.8</v>
      </c>
      <c r="G14" t="s">
        <v>34</v>
      </c>
      <c r="H14" t="s">
        <v>22</v>
      </c>
      <c r="I14">
        <v>7.2</v>
      </c>
      <c r="J14">
        <v>8</v>
      </c>
      <c r="K14" t="s">
        <v>23</v>
      </c>
      <c r="L14">
        <v>4</v>
      </c>
      <c r="M14" t="str">
        <f>IF(Table1[[#This Row],[Age]]&lt;=18,"Teen",IF(Table1[[#This Row],[Age]]&lt;=21,"Young Adult","Adult"))</f>
        <v>Adult</v>
      </c>
      <c r="N14" t="str">
        <f t="shared" si="0"/>
        <v>Moderate</v>
      </c>
      <c r="O14" t="str">
        <f t="shared" si="1"/>
        <v>Medium</v>
      </c>
      <c r="P14" t="str">
        <f t="shared" si="2"/>
        <v>Healthy</v>
      </c>
      <c r="Q14">
        <f t="shared" si="3"/>
        <v>0</v>
      </c>
      <c r="R14" t="str">
        <f t="shared" si="4"/>
        <v>Good</v>
      </c>
      <c r="S14">
        <f>COUNTIF('Students Social Media Addiction'!O:O,"High")/COUNTA(Table1[Student_ID])</f>
        <v>0.5787234042553191</v>
      </c>
      <c r="T14">
        <f>AVERAGE(Table1[Academic Impact Flag])</f>
        <v>0.64255319148936174</v>
      </c>
      <c r="U14">
        <f>AVERAGE(Table1[Sleep_Hours_Per_Night])</f>
        <v>6.868936170212768</v>
      </c>
      <c r="V14">
        <f>AVERAGE(Table1[Mental_Health_Score])</f>
        <v>6.2269503546099294</v>
      </c>
    </row>
    <row r="15" spans="1:22" x14ac:dyDescent="0.3">
      <c r="A15">
        <v>14</v>
      </c>
      <c r="B15">
        <v>18</v>
      </c>
      <c r="C15" t="s">
        <v>12</v>
      </c>
      <c r="D15" t="s">
        <v>27</v>
      </c>
      <c r="E15" t="s">
        <v>42</v>
      </c>
      <c r="F15">
        <v>6.5</v>
      </c>
      <c r="G15" t="s">
        <v>15</v>
      </c>
      <c r="H15" t="s">
        <v>16</v>
      </c>
      <c r="I15">
        <v>5.5</v>
      </c>
      <c r="J15">
        <v>5</v>
      </c>
      <c r="K15" t="s">
        <v>23</v>
      </c>
      <c r="L15">
        <v>9</v>
      </c>
      <c r="M15" t="str">
        <f>IF(Table1[[#This Row],[Age]]&lt;=18,"Teen",IF(Table1[[#This Row],[Age]]&lt;=21,"Young Adult","Adult"))</f>
        <v>Teen</v>
      </c>
      <c r="N15" t="str">
        <f t="shared" si="0"/>
        <v>Very High</v>
      </c>
      <c r="O15" t="str">
        <f t="shared" si="1"/>
        <v>High</v>
      </c>
      <c r="P15" t="str">
        <f t="shared" si="2"/>
        <v>Poor</v>
      </c>
      <c r="Q15">
        <f t="shared" si="3"/>
        <v>1</v>
      </c>
      <c r="R15" t="str">
        <f t="shared" si="4"/>
        <v>Average</v>
      </c>
      <c r="S15">
        <f>COUNTIF('Students Social Media Addiction'!O:O,"High")/COUNTA(Table1[Student_ID])</f>
        <v>0.5787234042553191</v>
      </c>
      <c r="T15">
        <f>AVERAGE(Table1[Academic Impact Flag])</f>
        <v>0.64255319148936174</v>
      </c>
      <c r="U15">
        <f>AVERAGE(Table1[Sleep_Hours_Per_Night])</f>
        <v>6.868936170212768</v>
      </c>
      <c r="V15">
        <f>AVERAGE(Table1[Mental_Health_Score])</f>
        <v>6.2269503546099294</v>
      </c>
    </row>
    <row r="16" spans="1:22" x14ac:dyDescent="0.3">
      <c r="A16">
        <v>15</v>
      </c>
      <c r="B16">
        <v>21</v>
      </c>
      <c r="C16" t="s">
        <v>18</v>
      </c>
      <c r="D16" t="s">
        <v>13</v>
      </c>
      <c r="E16" t="s">
        <v>43</v>
      </c>
      <c r="F16">
        <v>3.7</v>
      </c>
      <c r="G16" t="s">
        <v>29</v>
      </c>
      <c r="H16" t="s">
        <v>22</v>
      </c>
      <c r="I16">
        <v>6.8</v>
      </c>
      <c r="J16">
        <v>7</v>
      </c>
      <c r="K16" t="s">
        <v>17</v>
      </c>
      <c r="L16">
        <v>5</v>
      </c>
      <c r="M16" t="str">
        <f>IF(Table1[[#This Row],[Age]]&lt;=18,"Teen",IF(Table1[[#This Row],[Age]]&lt;=21,"Young Adult","Adult"))</f>
        <v>Young Adult</v>
      </c>
      <c r="N16" t="str">
        <f t="shared" si="0"/>
        <v>Moderate</v>
      </c>
      <c r="O16" t="str">
        <f t="shared" si="1"/>
        <v>Medium</v>
      </c>
      <c r="P16" t="str">
        <f t="shared" si="2"/>
        <v>Average</v>
      </c>
      <c r="Q16">
        <f t="shared" si="3"/>
        <v>0</v>
      </c>
      <c r="R16" t="str">
        <f t="shared" si="4"/>
        <v>Good</v>
      </c>
      <c r="S16">
        <f>COUNTIF('Students Social Media Addiction'!O:O,"High")/COUNTA(Table1[Student_ID])</f>
        <v>0.5787234042553191</v>
      </c>
      <c r="T16">
        <f>AVERAGE(Table1[Academic Impact Flag])</f>
        <v>0.64255319148936174</v>
      </c>
      <c r="U16">
        <f>AVERAGE(Table1[Sleep_Hours_Per_Night])</f>
        <v>6.868936170212768</v>
      </c>
      <c r="V16">
        <f>AVERAGE(Table1[Mental_Health_Score])</f>
        <v>6.2269503546099294</v>
      </c>
    </row>
    <row r="17" spans="1:22" x14ac:dyDescent="0.3">
      <c r="A17">
        <v>16</v>
      </c>
      <c r="B17">
        <v>20</v>
      </c>
      <c r="C17" t="s">
        <v>12</v>
      </c>
      <c r="D17" t="s">
        <v>13</v>
      </c>
      <c r="E17" t="s">
        <v>44</v>
      </c>
      <c r="F17">
        <v>4.2</v>
      </c>
      <c r="G17" t="s">
        <v>25</v>
      </c>
      <c r="H17" t="s">
        <v>16</v>
      </c>
      <c r="I17">
        <v>6</v>
      </c>
      <c r="J17">
        <v>6</v>
      </c>
      <c r="K17" t="s">
        <v>26</v>
      </c>
      <c r="L17">
        <v>7</v>
      </c>
      <c r="M17" t="str">
        <f>IF(Table1[[#This Row],[Age]]&lt;=18,"Teen",IF(Table1[[#This Row],[Age]]&lt;=21,"Young Adult","Adult"))</f>
        <v>Young Adult</v>
      </c>
      <c r="N17" t="str">
        <f t="shared" si="0"/>
        <v>High</v>
      </c>
      <c r="O17" t="str">
        <f t="shared" si="1"/>
        <v>High</v>
      </c>
      <c r="P17" t="str">
        <f t="shared" si="2"/>
        <v>Average</v>
      </c>
      <c r="Q17">
        <f t="shared" si="3"/>
        <v>1</v>
      </c>
      <c r="R17" t="str">
        <f t="shared" si="4"/>
        <v>Average</v>
      </c>
      <c r="S17">
        <f>COUNTIF('Students Social Media Addiction'!O:O,"High")/COUNTA(Table1[Student_ID])</f>
        <v>0.5787234042553191</v>
      </c>
      <c r="T17">
        <f>AVERAGE(Table1[Academic Impact Flag])</f>
        <v>0.64255319148936174</v>
      </c>
      <c r="U17">
        <f>AVERAGE(Table1[Sleep_Hours_Per_Night])</f>
        <v>6.868936170212768</v>
      </c>
      <c r="V17">
        <f>AVERAGE(Table1[Mental_Health_Score])</f>
        <v>6.2269503546099294</v>
      </c>
    </row>
    <row r="18" spans="1:22" x14ac:dyDescent="0.3">
      <c r="A18">
        <v>17</v>
      </c>
      <c r="B18">
        <v>24</v>
      </c>
      <c r="C18" t="s">
        <v>18</v>
      </c>
      <c r="D18" t="s">
        <v>19</v>
      </c>
      <c r="E18" t="s">
        <v>45</v>
      </c>
      <c r="F18">
        <v>2</v>
      </c>
      <c r="G18" t="s">
        <v>34</v>
      </c>
      <c r="H18" t="s">
        <v>22</v>
      </c>
      <c r="I18">
        <v>7.8</v>
      </c>
      <c r="J18">
        <v>8</v>
      </c>
      <c r="K18" t="s">
        <v>23</v>
      </c>
      <c r="L18">
        <v>3</v>
      </c>
      <c r="M18" t="str">
        <f>IF(Table1[[#This Row],[Age]]&lt;=18,"Teen",IF(Table1[[#This Row],[Age]]&lt;=21,"Young Adult","Adult"))</f>
        <v>Adult</v>
      </c>
      <c r="N18" t="str">
        <f t="shared" si="0"/>
        <v>Moderate</v>
      </c>
      <c r="O18" t="str">
        <f t="shared" si="1"/>
        <v>Low</v>
      </c>
      <c r="P18" t="str">
        <f t="shared" si="2"/>
        <v>Healthy</v>
      </c>
      <c r="Q18">
        <f t="shared" si="3"/>
        <v>0</v>
      </c>
      <c r="R18" t="str">
        <f t="shared" si="4"/>
        <v>Good</v>
      </c>
      <c r="S18">
        <f>COUNTIF('Students Social Media Addiction'!O:O,"High")/COUNTA(Table1[Student_ID])</f>
        <v>0.5787234042553191</v>
      </c>
      <c r="T18">
        <f>AVERAGE(Table1[Academic Impact Flag])</f>
        <v>0.64255319148936174</v>
      </c>
      <c r="U18">
        <f>AVERAGE(Table1[Sleep_Hours_Per_Night])</f>
        <v>6.868936170212768</v>
      </c>
      <c r="V18">
        <f>AVERAGE(Table1[Mental_Health_Score])</f>
        <v>6.2269503546099294</v>
      </c>
    </row>
    <row r="19" spans="1:22" x14ac:dyDescent="0.3">
      <c r="A19">
        <v>18</v>
      </c>
      <c r="B19">
        <v>19</v>
      </c>
      <c r="C19" t="s">
        <v>12</v>
      </c>
      <c r="D19" t="s">
        <v>27</v>
      </c>
      <c r="E19" t="s">
        <v>46</v>
      </c>
      <c r="F19">
        <v>5</v>
      </c>
      <c r="G19" t="s">
        <v>15</v>
      </c>
      <c r="H19" t="s">
        <v>16</v>
      </c>
      <c r="I19">
        <v>5.7</v>
      </c>
      <c r="J19">
        <v>5</v>
      </c>
      <c r="K19" t="s">
        <v>17</v>
      </c>
      <c r="L19">
        <v>8</v>
      </c>
      <c r="M19" t="str">
        <f>IF(Table1[[#This Row],[Age]]&lt;=18,"Teen",IF(Table1[[#This Row],[Age]]&lt;=21,"Young Adult","Adult"))</f>
        <v>Young Adult</v>
      </c>
      <c r="N19" t="str">
        <f t="shared" si="0"/>
        <v>High</v>
      </c>
      <c r="O19" t="str">
        <f t="shared" si="1"/>
        <v>High</v>
      </c>
      <c r="P19" t="str">
        <f t="shared" si="2"/>
        <v>Poor</v>
      </c>
      <c r="Q19">
        <f t="shared" si="3"/>
        <v>1</v>
      </c>
      <c r="R19" t="str">
        <f t="shared" si="4"/>
        <v>Average</v>
      </c>
      <c r="S19">
        <f>COUNTIF('Students Social Media Addiction'!O:O,"High")/COUNTA(Table1[Student_ID])</f>
        <v>0.5787234042553191</v>
      </c>
      <c r="T19">
        <f>AVERAGE(Table1[Academic Impact Flag])</f>
        <v>0.64255319148936174</v>
      </c>
      <c r="U19">
        <f>AVERAGE(Table1[Sleep_Hours_Per_Night])</f>
        <v>6.868936170212768</v>
      </c>
      <c r="V19">
        <f>AVERAGE(Table1[Mental_Health_Score])</f>
        <v>6.2269503546099294</v>
      </c>
    </row>
    <row r="20" spans="1:22" x14ac:dyDescent="0.3">
      <c r="A20">
        <v>19</v>
      </c>
      <c r="B20">
        <v>21</v>
      </c>
      <c r="C20" t="s">
        <v>18</v>
      </c>
      <c r="D20" t="s">
        <v>13</v>
      </c>
      <c r="E20" t="s">
        <v>47</v>
      </c>
      <c r="F20">
        <v>3.5</v>
      </c>
      <c r="G20" t="s">
        <v>31</v>
      </c>
      <c r="H20" t="s">
        <v>22</v>
      </c>
      <c r="I20">
        <v>6.7</v>
      </c>
      <c r="J20">
        <v>7</v>
      </c>
      <c r="K20" t="s">
        <v>23</v>
      </c>
      <c r="L20">
        <v>5</v>
      </c>
      <c r="M20" t="str">
        <f>IF(Table1[[#This Row],[Age]]&lt;=18,"Teen",IF(Table1[[#This Row],[Age]]&lt;=21,"Young Adult","Adult"))</f>
        <v>Young Adult</v>
      </c>
      <c r="N20" t="str">
        <f t="shared" si="0"/>
        <v>Moderate</v>
      </c>
      <c r="O20" t="str">
        <f t="shared" si="1"/>
        <v>Medium</v>
      </c>
      <c r="P20" t="str">
        <f t="shared" si="2"/>
        <v>Average</v>
      </c>
      <c r="Q20">
        <f t="shared" si="3"/>
        <v>0</v>
      </c>
      <c r="R20" t="str">
        <f t="shared" si="4"/>
        <v>Good</v>
      </c>
      <c r="S20">
        <f>COUNTIF('Students Social Media Addiction'!O:O,"High")/COUNTA(Table1[Student_ID])</f>
        <v>0.5787234042553191</v>
      </c>
      <c r="T20">
        <f>AVERAGE(Table1[Academic Impact Flag])</f>
        <v>0.64255319148936174</v>
      </c>
      <c r="U20">
        <f>AVERAGE(Table1[Sleep_Hours_Per_Night])</f>
        <v>6.868936170212768</v>
      </c>
      <c r="V20">
        <f>AVERAGE(Table1[Mental_Health_Score])</f>
        <v>6.2269503546099294</v>
      </c>
    </row>
    <row r="21" spans="1:22" x14ac:dyDescent="0.3">
      <c r="A21">
        <v>20</v>
      </c>
      <c r="B21">
        <v>20</v>
      </c>
      <c r="C21" t="s">
        <v>12</v>
      </c>
      <c r="D21" t="s">
        <v>13</v>
      </c>
      <c r="E21" t="s">
        <v>48</v>
      </c>
      <c r="F21">
        <v>4.7</v>
      </c>
      <c r="G21" t="s">
        <v>36</v>
      </c>
      <c r="H21" t="s">
        <v>16</v>
      </c>
      <c r="I21">
        <v>5.9</v>
      </c>
      <c r="J21">
        <v>6</v>
      </c>
      <c r="K21" t="s">
        <v>26</v>
      </c>
      <c r="L21">
        <v>7</v>
      </c>
      <c r="M21" t="str">
        <f>IF(Table1[[#This Row],[Age]]&lt;=18,"Teen",IF(Table1[[#This Row],[Age]]&lt;=21,"Young Adult","Adult"))</f>
        <v>Young Adult</v>
      </c>
      <c r="N21" t="str">
        <f t="shared" si="0"/>
        <v>High</v>
      </c>
      <c r="O21" t="str">
        <f t="shared" si="1"/>
        <v>High</v>
      </c>
      <c r="P21" t="str">
        <f t="shared" si="2"/>
        <v>Poor</v>
      </c>
      <c r="Q21">
        <f t="shared" si="3"/>
        <v>1</v>
      </c>
      <c r="R21" t="str">
        <f t="shared" si="4"/>
        <v>Average</v>
      </c>
      <c r="S21">
        <f>COUNTIF('Students Social Media Addiction'!O:O,"High")/COUNTA(Table1[Student_ID])</f>
        <v>0.5787234042553191</v>
      </c>
      <c r="T21">
        <f>AVERAGE(Table1[Academic Impact Flag])</f>
        <v>0.64255319148936174</v>
      </c>
      <c r="U21">
        <f>AVERAGE(Table1[Sleep_Hours_Per_Night])</f>
        <v>6.868936170212768</v>
      </c>
      <c r="V21">
        <f>AVERAGE(Table1[Mental_Health_Score])</f>
        <v>6.2269503546099294</v>
      </c>
    </row>
    <row r="22" spans="1:22" x14ac:dyDescent="0.3">
      <c r="A22">
        <v>21</v>
      </c>
      <c r="B22">
        <v>18</v>
      </c>
      <c r="C22" t="s">
        <v>18</v>
      </c>
      <c r="D22" t="s">
        <v>27</v>
      </c>
      <c r="E22" t="s">
        <v>49</v>
      </c>
      <c r="F22">
        <v>5.3</v>
      </c>
      <c r="G22" t="s">
        <v>25</v>
      </c>
      <c r="H22" t="s">
        <v>16</v>
      </c>
      <c r="I22">
        <v>5.5</v>
      </c>
      <c r="J22">
        <v>5</v>
      </c>
      <c r="K22" t="s">
        <v>23</v>
      </c>
      <c r="L22">
        <v>8</v>
      </c>
      <c r="M22" t="str">
        <f>IF(Table1[[#This Row],[Age]]&lt;=18,"Teen",IF(Table1[[#This Row],[Age]]&lt;=21,"Young Adult","Adult"))</f>
        <v>Teen</v>
      </c>
      <c r="N22" t="str">
        <f t="shared" si="0"/>
        <v>High</v>
      </c>
      <c r="O22" t="str">
        <f t="shared" si="1"/>
        <v>High</v>
      </c>
      <c r="P22" t="str">
        <f t="shared" si="2"/>
        <v>Poor</v>
      </c>
      <c r="Q22">
        <f t="shared" si="3"/>
        <v>1</v>
      </c>
      <c r="R22" t="str">
        <f t="shared" si="4"/>
        <v>Average</v>
      </c>
      <c r="S22">
        <f>COUNTIF('Students Social Media Addiction'!O:O,"High")/COUNTA(Table1[Student_ID])</f>
        <v>0.5787234042553191</v>
      </c>
      <c r="T22">
        <f>AVERAGE(Table1[Academic Impact Flag])</f>
        <v>0.64255319148936174</v>
      </c>
      <c r="U22">
        <f>AVERAGE(Table1[Sleep_Hours_Per_Night])</f>
        <v>6.868936170212768</v>
      </c>
      <c r="V22">
        <f>AVERAGE(Table1[Mental_Health_Score])</f>
        <v>6.2269503546099294</v>
      </c>
    </row>
    <row r="23" spans="1:22" x14ac:dyDescent="0.3">
      <c r="A23">
        <v>22</v>
      </c>
      <c r="B23">
        <v>23</v>
      </c>
      <c r="C23" t="s">
        <v>12</v>
      </c>
      <c r="D23" t="s">
        <v>19</v>
      </c>
      <c r="E23" t="s">
        <v>50</v>
      </c>
      <c r="F23">
        <v>2.5</v>
      </c>
      <c r="G23" t="s">
        <v>34</v>
      </c>
      <c r="H23" t="s">
        <v>22</v>
      </c>
      <c r="I23">
        <v>7.3</v>
      </c>
      <c r="J23">
        <v>8</v>
      </c>
      <c r="K23" t="s">
        <v>17</v>
      </c>
      <c r="L23">
        <v>4</v>
      </c>
      <c r="M23" t="str">
        <f>IF(Table1[[#This Row],[Age]]&lt;=18,"Teen",IF(Table1[[#This Row],[Age]]&lt;=21,"Young Adult","Adult"))</f>
        <v>Adult</v>
      </c>
      <c r="N23" t="str">
        <f t="shared" si="0"/>
        <v>Moderate</v>
      </c>
      <c r="O23" t="str">
        <f t="shared" si="1"/>
        <v>Medium</v>
      </c>
      <c r="P23" t="str">
        <f t="shared" si="2"/>
        <v>Healthy</v>
      </c>
      <c r="Q23">
        <f t="shared" si="3"/>
        <v>0</v>
      </c>
      <c r="R23" t="str">
        <f t="shared" si="4"/>
        <v>Good</v>
      </c>
      <c r="S23">
        <f>COUNTIF('Students Social Media Addiction'!O:O,"High")/COUNTA(Table1[Student_ID])</f>
        <v>0.5787234042553191</v>
      </c>
      <c r="T23">
        <f>AVERAGE(Table1[Academic Impact Flag])</f>
        <v>0.64255319148936174</v>
      </c>
      <c r="U23">
        <f>AVERAGE(Table1[Sleep_Hours_Per_Night])</f>
        <v>6.868936170212768</v>
      </c>
      <c r="V23">
        <f>AVERAGE(Table1[Mental_Health_Score])</f>
        <v>6.2269503546099294</v>
      </c>
    </row>
    <row r="24" spans="1:22" x14ac:dyDescent="0.3">
      <c r="A24">
        <v>23</v>
      </c>
      <c r="B24">
        <v>19</v>
      </c>
      <c r="C24" t="s">
        <v>18</v>
      </c>
      <c r="D24" t="s">
        <v>13</v>
      </c>
      <c r="E24" t="s">
        <v>51</v>
      </c>
      <c r="F24">
        <v>4.9000000000000004</v>
      </c>
      <c r="G24" t="s">
        <v>15</v>
      </c>
      <c r="H24" t="s">
        <v>16</v>
      </c>
      <c r="I24">
        <v>5.8</v>
      </c>
      <c r="J24">
        <v>6</v>
      </c>
      <c r="K24" t="s">
        <v>26</v>
      </c>
      <c r="L24">
        <v>7</v>
      </c>
      <c r="M24" t="str">
        <f>IF(Table1[[#This Row],[Age]]&lt;=18,"Teen",IF(Table1[[#This Row],[Age]]&lt;=21,"Young Adult","Adult"))</f>
        <v>Young Adult</v>
      </c>
      <c r="N24" t="str">
        <f t="shared" si="0"/>
        <v>High</v>
      </c>
      <c r="O24" t="str">
        <f t="shared" si="1"/>
        <v>High</v>
      </c>
      <c r="P24" t="str">
        <f t="shared" si="2"/>
        <v>Poor</v>
      </c>
      <c r="Q24">
        <f t="shared" si="3"/>
        <v>1</v>
      </c>
      <c r="R24" t="str">
        <f t="shared" si="4"/>
        <v>Average</v>
      </c>
      <c r="S24">
        <f>COUNTIF('Students Social Media Addiction'!O:O,"High")/COUNTA(Table1[Student_ID])</f>
        <v>0.5787234042553191</v>
      </c>
      <c r="T24">
        <f>AVERAGE(Table1[Academic Impact Flag])</f>
        <v>0.64255319148936174</v>
      </c>
      <c r="U24">
        <f>AVERAGE(Table1[Sleep_Hours_Per_Night])</f>
        <v>6.868936170212768</v>
      </c>
      <c r="V24">
        <f>AVERAGE(Table1[Mental_Health_Score])</f>
        <v>6.2269503546099294</v>
      </c>
    </row>
    <row r="25" spans="1:22" x14ac:dyDescent="0.3">
      <c r="A25">
        <v>24</v>
      </c>
      <c r="B25">
        <v>20</v>
      </c>
      <c r="C25" t="s">
        <v>12</v>
      </c>
      <c r="D25" t="s">
        <v>13</v>
      </c>
      <c r="E25" t="s">
        <v>52</v>
      </c>
      <c r="F25">
        <v>5.7</v>
      </c>
      <c r="G25" t="s">
        <v>25</v>
      </c>
      <c r="H25" t="s">
        <v>16</v>
      </c>
      <c r="I25">
        <v>5.4</v>
      </c>
      <c r="J25">
        <v>5</v>
      </c>
      <c r="K25" t="s">
        <v>23</v>
      </c>
      <c r="L25">
        <v>8</v>
      </c>
      <c r="M25" t="str">
        <f>IF(Table1[[#This Row],[Age]]&lt;=18,"Teen",IF(Table1[[#This Row],[Age]]&lt;=21,"Young Adult","Adult"))</f>
        <v>Young Adult</v>
      </c>
      <c r="N25" t="str">
        <f t="shared" si="0"/>
        <v>High</v>
      </c>
      <c r="O25" t="str">
        <f t="shared" si="1"/>
        <v>High</v>
      </c>
      <c r="P25" t="str">
        <f t="shared" si="2"/>
        <v>Poor</v>
      </c>
      <c r="Q25">
        <f t="shared" si="3"/>
        <v>1</v>
      </c>
      <c r="R25" t="str">
        <f t="shared" si="4"/>
        <v>Average</v>
      </c>
      <c r="S25">
        <f>COUNTIF('Students Social Media Addiction'!O:O,"High")/COUNTA(Table1[Student_ID])</f>
        <v>0.5787234042553191</v>
      </c>
      <c r="T25">
        <f>AVERAGE(Table1[Academic Impact Flag])</f>
        <v>0.64255319148936174</v>
      </c>
      <c r="U25">
        <f>AVERAGE(Table1[Sleep_Hours_Per_Night])</f>
        <v>6.868936170212768</v>
      </c>
      <c r="V25">
        <f>AVERAGE(Table1[Mental_Health_Score])</f>
        <v>6.2269503546099294</v>
      </c>
    </row>
    <row r="26" spans="1:22" x14ac:dyDescent="0.3">
      <c r="A26">
        <v>25</v>
      </c>
      <c r="B26">
        <v>22</v>
      </c>
      <c r="C26" t="s">
        <v>18</v>
      </c>
      <c r="D26" t="s">
        <v>19</v>
      </c>
      <c r="E26" t="s">
        <v>53</v>
      </c>
      <c r="F26">
        <v>3.2</v>
      </c>
      <c r="G26" t="s">
        <v>31</v>
      </c>
      <c r="H26" t="s">
        <v>22</v>
      </c>
      <c r="I26">
        <v>6.9</v>
      </c>
      <c r="J26">
        <v>7</v>
      </c>
      <c r="K26" t="s">
        <v>17</v>
      </c>
      <c r="L26">
        <v>5</v>
      </c>
      <c r="M26" t="str">
        <f>IF(Table1[[#This Row],[Age]]&lt;=18,"Teen",IF(Table1[[#This Row],[Age]]&lt;=21,"Young Adult","Adult"))</f>
        <v>Adult</v>
      </c>
      <c r="N26" t="str">
        <f t="shared" si="0"/>
        <v>Moderate</v>
      </c>
      <c r="O26" t="str">
        <f t="shared" si="1"/>
        <v>Medium</v>
      </c>
      <c r="P26" t="str">
        <f t="shared" si="2"/>
        <v>Average</v>
      </c>
      <c r="Q26">
        <f t="shared" si="3"/>
        <v>0</v>
      </c>
      <c r="R26" t="str">
        <f t="shared" si="4"/>
        <v>Good</v>
      </c>
      <c r="S26">
        <f>COUNTIF('Students Social Media Addiction'!O:O,"High")/COUNTA(Table1[Student_ID])</f>
        <v>0.5787234042553191</v>
      </c>
      <c r="T26">
        <f>AVERAGE(Table1[Academic Impact Flag])</f>
        <v>0.64255319148936174</v>
      </c>
      <c r="U26">
        <f>AVERAGE(Table1[Sleep_Hours_Per_Night])</f>
        <v>6.868936170212768</v>
      </c>
      <c r="V26">
        <f>AVERAGE(Table1[Mental_Health_Score])</f>
        <v>6.2269503546099294</v>
      </c>
    </row>
    <row r="27" spans="1:22" x14ac:dyDescent="0.3">
      <c r="A27">
        <v>26</v>
      </c>
      <c r="B27">
        <v>19</v>
      </c>
      <c r="C27" t="s">
        <v>12</v>
      </c>
      <c r="D27" t="s">
        <v>27</v>
      </c>
      <c r="E27" t="s">
        <v>54</v>
      </c>
      <c r="F27">
        <v>6.1</v>
      </c>
      <c r="G27" t="s">
        <v>15</v>
      </c>
      <c r="H27" t="s">
        <v>16</v>
      </c>
      <c r="I27">
        <v>5.2</v>
      </c>
      <c r="J27">
        <v>5</v>
      </c>
      <c r="K27" t="s">
        <v>26</v>
      </c>
      <c r="L27">
        <v>9</v>
      </c>
      <c r="M27" t="str">
        <f>IF(Table1[[#This Row],[Age]]&lt;=18,"Teen",IF(Table1[[#This Row],[Age]]&lt;=21,"Young Adult","Adult"))</f>
        <v>Young Adult</v>
      </c>
      <c r="N27" t="str">
        <f t="shared" si="0"/>
        <v>Very High</v>
      </c>
      <c r="O27" t="str">
        <f t="shared" si="1"/>
        <v>High</v>
      </c>
      <c r="P27" t="str">
        <f t="shared" si="2"/>
        <v>Poor</v>
      </c>
      <c r="Q27">
        <f t="shared" si="3"/>
        <v>1</v>
      </c>
      <c r="R27" t="str">
        <f t="shared" si="4"/>
        <v>Average</v>
      </c>
      <c r="S27">
        <f>COUNTIF('Students Social Media Addiction'!O:O,"High")/COUNTA(Table1[Student_ID])</f>
        <v>0.5787234042553191</v>
      </c>
      <c r="T27">
        <f>AVERAGE(Table1[Academic Impact Flag])</f>
        <v>0.64255319148936174</v>
      </c>
      <c r="U27">
        <f>AVERAGE(Table1[Sleep_Hours_Per_Night])</f>
        <v>6.868936170212768</v>
      </c>
      <c r="V27">
        <f>AVERAGE(Table1[Mental_Health_Score])</f>
        <v>6.2269503546099294</v>
      </c>
    </row>
    <row r="28" spans="1:22" x14ac:dyDescent="0.3">
      <c r="A28">
        <v>27</v>
      </c>
      <c r="B28">
        <v>21</v>
      </c>
      <c r="C28" t="s">
        <v>18</v>
      </c>
      <c r="D28" t="s">
        <v>13</v>
      </c>
      <c r="E28" t="s">
        <v>55</v>
      </c>
      <c r="F28">
        <v>3.8</v>
      </c>
      <c r="G28" t="s">
        <v>29</v>
      </c>
      <c r="H28" t="s">
        <v>22</v>
      </c>
      <c r="I28">
        <v>6.6</v>
      </c>
      <c r="J28">
        <v>7</v>
      </c>
      <c r="K28" t="s">
        <v>23</v>
      </c>
      <c r="L28">
        <v>5</v>
      </c>
      <c r="M28" t="str">
        <f>IF(Table1[[#This Row],[Age]]&lt;=18,"Teen",IF(Table1[[#This Row],[Age]]&lt;=21,"Young Adult","Adult"))</f>
        <v>Young Adult</v>
      </c>
      <c r="N28" t="str">
        <f t="shared" si="0"/>
        <v>Moderate</v>
      </c>
      <c r="O28" t="str">
        <f t="shared" si="1"/>
        <v>Medium</v>
      </c>
      <c r="P28" t="str">
        <f t="shared" si="2"/>
        <v>Average</v>
      </c>
      <c r="Q28">
        <f t="shared" si="3"/>
        <v>0</v>
      </c>
      <c r="R28" t="str">
        <f t="shared" si="4"/>
        <v>Good</v>
      </c>
      <c r="S28">
        <f>COUNTIF('Students Social Media Addiction'!O:O,"High")/COUNTA(Table1[Student_ID])</f>
        <v>0.5787234042553191</v>
      </c>
      <c r="T28">
        <f>AVERAGE(Table1[Academic Impact Flag])</f>
        <v>0.64255319148936174</v>
      </c>
      <c r="U28">
        <f>AVERAGE(Table1[Sleep_Hours_Per_Night])</f>
        <v>6.868936170212768</v>
      </c>
      <c r="V28">
        <f>AVERAGE(Table1[Mental_Health_Score])</f>
        <v>6.2269503546099294</v>
      </c>
    </row>
    <row r="29" spans="1:22" x14ac:dyDescent="0.3">
      <c r="A29">
        <v>28</v>
      </c>
      <c r="B29">
        <v>20</v>
      </c>
      <c r="C29" t="s">
        <v>12</v>
      </c>
      <c r="D29" t="s">
        <v>13</v>
      </c>
      <c r="E29" t="s">
        <v>56</v>
      </c>
      <c r="F29">
        <v>4.4000000000000004</v>
      </c>
      <c r="G29" t="s">
        <v>25</v>
      </c>
      <c r="H29" t="s">
        <v>16</v>
      </c>
      <c r="I29">
        <v>5.9</v>
      </c>
      <c r="J29">
        <v>6</v>
      </c>
      <c r="K29" t="s">
        <v>17</v>
      </c>
      <c r="L29">
        <v>7</v>
      </c>
      <c r="M29" t="str">
        <f>IF(Table1[[#This Row],[Age]]&lt;=18,"Teen",IF(Table1[[#This Row],[Age]]&lt;=21,"Young Adult","Adult"))</f>
        <v>Young Adult</v>
      </c>
      <c r="N29" t="str">
        <f t="shared" si="0"/>
        <v>High</v>
      </c>
      <c r="O29" t="str">
        <f t="shared" si="1"/>
        <v>High</v>
      </c>
      <c r="P29" t="str">
        <f t="shared" si="2"/>
        <v>Poor</v>
      </c>
      <c r="Q29">
        <f t="shared" si="3"/>
        <v>1</v>
      </c>
      <c r="R29" t="str">
        <f t="shared" si="4"/>
        <v>Average</v>
      </c>
      <c r="S29">
        <f>COUNTIF('Students Social Media Addiction'!O:O,"High")/COUNTA(Table1[Student_ID])</f>
        <v>0.5787234042553191</v>
      </c>
      <c r="T29">
        <f>AVERAGE(Table1[Academic Impact Flag])</f>
        <v>0.64255319148936174</v>
      </c>
      <c r="U29">
        <f>AVERAGE(Table1[Sleep_Hours_Per_Night])</f>
        <v>6.868936170212768</v>
      </c>
      <c r="V29">
        <f>AVERAGE(Table1[Mental_Health_Score])</f>
        <v>6.2269503546099294</v>
      </c>
    </row>
    <row r="30" spans="1:22" x14ac:dyDescent="0.3">
      <c r="A30">
        <v>29</v>
      </c>
      <c r="B30">
        <v>24</v>
      </c>
      <c r="C30" t="s">
        <v>18</v>
      </c>
      <c r="D30" t="s">
        <v>19</v>
      </c>
      <c r="E30" t="s">
        <v>57</v>
      </c>
      <c r="F30">
        <v>2.2000000000000002</v>
      </c>
      <c r="G30" t="s">
        <v>34</v>
      </c>
      <c r="H30" t="s">
        <v>22</v>
      </c>
      <c r="I30">
        <v>7.4</v>
      </c>
      <c r="J30">
        <v>8</v>
      </c>
      <c r="K30" t="s">
        <v>23</v>
      </c>
      <c r="L30">
        <v>3</v>
      </c>
      <c r="M30" t="str">
        <f>IF(Table1[[#This Row],[Age]]&lt;=18,"Teen",IF(Table1[[#This Row],[Age]]&lt;=21,"Young Adult","Adult"))</f>
        <v>Adult</v>
      </c>
      <c r="N30" t="str">
        <f t="shared" si="0"/>
        <v>Moderate</v>
      </c>
      <c r="O30" t="str">
        <f t="shared" si="1"/>
        <v>Low</v>
      </c>
      <c r="P30" t="str">
        <f t="shared" si="2"/>
        <v>Healthy</v>
      </c>
      <c r="Q30">
        <f t="shared" si="3"/>
        <v>0</v>
      </c>
      <c r="R30" t="str">
        <f t="shared" si="4"/>
        <v>Good</v>
      </c>
      <c r="S30">
        <f>COUNTIF('Students Social Media Addiction'!O:O,"High")/COUNTA(Table1[Student_ID])</f>
        <v>0.5787234042553191</v>
      </c>
      <c r="T30">
        <f>AVERAGE(Table1[Academic Impact Flag])</f>
        <v>0.64255319148936174</v>
      </c>
      <c r="U30">
        <f>AVERAGE(Table1[Sleep_Hours_Per_Night])</f>
        <v>6.868936170212768</v>
      </c>
      <c r="V30">
        <f>AVERAGE(Table1[Mental_Health_Score])</f>
        <v>6.2269503546099294</v>
      </c>
    </row>
    <row r="31" spans="1:22" x14ac:dyDescent="0.3">
      <c r="A31">
        <v>30</v>
      </c>
      <c r="B31">
        <v>19</v>
      </c>
      <c r="C31" t="s">
        <v>12</v>
      </c>
      <c r="D31" t="s">
        <v>27</v>
      </c>
      <c r="E31" t="s">
        <v>58</v>
      </c>
      <c r="F31">
        <v>5.9</v>
      </c>
      <c r="G31" t="s">
        <v>15</v>
      </c>
      <c r="H31" t="s">
        <v>16</v>
      </c>
      <c r="I31">
        <v>5.3</v>
      </c>
      <c r="J31">
        <v>5</v>
      </c>
      <c r="K31" t="s">
        <v>26</v>
      </c>
      <c r="L31">
        <v>8</v>
      </c>
      <c r="M31" t="str">
        <f>IF(Table1[[#This Row],[Age]]&lt;=18,"Teen",IF(Table1[[#This Row],[Age]]&lt;=21,"Young Adult","Adult"))</f>
        <v>Young Adult</v>
      </c>
      <c r="N31" t="str">
        <f t="shared" si="0"/>
        <v>High</v>
      </c>
      <c r="O31" t="str">
        <f t="shared" si="1"/>
        <v>High</v>
      </c>
      <c r="P31" t="str">
        <f t="shared" si="2"/>
        <v>Poor</v>
      </c>
      <c r="Q31">
        <f t="shared" si="3"/>
        <v>1</v>
      </c>
      <c r="R31" t="str">
        <f t="shared" si="4"/>
        <v>Average</v>
      </c>
      <c r="S31">
        <f>COUNTIF('Students Social Media Addiction'!O:O,"High")/COUNTA(Table1[Student_ID])</f>
        <v>0.5787234042553191</v>
      </c>
      <c r="T31">
        <f>AVERAGE(Table1[Academic Impact Flag])</f>
        <v>0.64255319148936174</v>
      </c>
      <c r="U31">
        <f>AVERAGE(Table1[Sleep_Hours_Per_Night])</f>
        <v>6.868936170212768</v>
      </c>
      <c r="V31">
        <f>AVERAGE(Table1[Mental_Health_Score])</f>
        <v>6.2269503546099294</v>
      </c>
    </row>
    <row r="32" spans="1:22" x14ac:dyDescent="0.3">
      <c r="A32">
        <v>31</v>
      </c>
      <c r="B32">
        <v>21</v>
      </c>
      <c r="C32" t="s">
        <v>18</v>
      </c>
      <c r="D32" t="s">
        <v>13</v>
      </c>
      <c r="E32" t="s">
        <v>59</v>
      </c>
      <c r="F32">
        <v>3.6</v>
      </c>
      <c r="G32" t="s">
        <v>31</v>
      </c>
      <c r="H32" t="s">
        <v>22</v>
      </c>
      <c r="I32">
        <v>6.7</v>
      </c>
      <c r="J32">
        <v>7</v>
      </c>
      <c r="K32" t="s">
        <v>23</v>
      </c>
      <c r="L32">
        <v>5</v>
      </c>
      <c r="M32" t="str">
        <f>IF(Table1[[#This Row],[Age]]&lt;=18,"Teen",IF(Table1[[#This Row],[Age]]&lt;=21,"Young Adult","Adult"))</f>
        <v>Young Adult</v>
      </c>
      <c r="N32" t="str">
        <f t="shared" si="0"/>
        <v>Moderate</v>
      </c>
      <c r="O32" t="str">
        <f t="shared" si="1"/>
        <v>Medium</v>
      </c>
      <c r="P32" t="str">
        <f t="shared" si="2"/>
        <v>Average</v>
      </c>
      <c r="Q32">
        <f t="shared" si="3"/>
        <v>0</v>
      </c>
      <c r="R32" t="str">
        <f t="shared" si="4"/>
        <v>Good</v>
      </c>
      <c r="S32">
        <f>COUNTIF('Students Social Media Addiction'!O:O,"High")/COUNTA(Table1[Student_ID])</f>
        <v>0.5787234042553191</v>
      </c>
      <c r="T32">
        <f>AVERAGE(Table1[Academic Impact Flag])</f>
        <v>0.64255319148936174</v>
      </c>
      <c r="U32">
        <f>AVERAGE(Table1[Sleep_Hours_Per_Night])</f>
        <v>6.868936170212768</v>
      </c>
      <c r="V32">
        <f>AVERAGE(Table1[Mental_Health_Score])</f>
        <v>6.2269503546099294</v>
      </c>
    </row>
    <row r="33" spans="1:22" x14ac:dyDescent="0.3">
      <c r="A33">
        <v>32</v>
      </c>
      <c r="B33">
        <v>20</v>
      </c>
      <c r="C33" t="s">
        <v>12</v>
      </c>
      <c r="D33" t="s">
        <v>13</v>
      </c>
      <c r="E33" t="s">
        <v>60</v>
      </c>
      <c r="F33">
        <v>4.8</v>
      </c>
      <c r="G33" t="s">
        <v>36</v>
      </c>
      <c r="H33" t="s">
        <v>16</v>
      </c>
      <c r="I33">
        <v>5.7</v>
      </c>
      <c r="J33">
        <v>6</v>
      </c>
      <c r="K33" t="s">
        <v>17</v>
      </c>
      <c r="L33">
        <v>7</v>
      </c>
      <c r="M33" t="str">
        <f>IF(Table1[[#This Row],[Age]]&lt;=18,"Teen",IF(Table1[[#This Row],[Age]]&lt;=21,"Young Adult","Adult"))</f>
        <v>Young Adult</v>
      </c>
      <c r="N33" t="str">
        <f t="shared" si="0"/>
        <v>High</v>
      </c>
      <c r="O33" t="str">
        <f t="shared" si="1"/>
        <v>High</v>
      </c>
      <c r="P33" t="str">
        <f t="shared" si="2"/>
        <v>Poor</v>
      </c>
      <c r="Q33">
        <f t="shared" si="3"/>
        <v>1</v>
      </c>
      <c r="R33" t="str">
        <f t="shared" si="4"/>
        <v>Average</v>
      </c>
      <c r="S33">
        <f>COUNTIF('Students Social Media Addiction'!O:O,"High")/COUNTA(Table1[Student_ID])</f>
        <v>0.5787234042553191</v>
      </c>
      <c r="T33">
        <f>AVERAGE(Table1[Academic Impact Flag])</f>
        <v>0.64255319148936174</v>
      </c>
      <c r="U33">
        <f>AVERAGE(Table1[Sleep_Hours_Per_Night])</f>
        <v>6.868936170212768</v>
      </c>
      <c r="V33">
        <f>AVERAGE(Table1[Mental_Health_Score])</f>
        <v>6.2269503546099294</v>
      </c>
    </row>
    <row r="34" spans="1:22" x14ac:dyDescent="0.3">
      <c r="A34">
        <v>33</v>
      </c>
      <c r="B34">
        <v>18</v>
      </c>
      <c r="C34" t="s">
        <v>18</v>
      </c>
      <c r="D34" t="s">
        <v>27</v>
      </c>
      <c r="E34" t="s">
        <v>61</v>
      </c>
      <c r="F34">
        <v>5.4</v>
      </c>
      <c r="G34" t="s">
        <v>25</v>
      </c>
      <c r="H34" t="s">
        <v>16</v>
      </c>
      <c r="I34">
        <v>5.4</v>
      </c>
      <c r="J34">
        <v>5</v>
      </c>
      <c r="K34" t="s">
        <v>26</v>
      </c>
      <c r="L34">
        <v>8</v>
      </c>
      <c r="M34" t="str">
        <f>IF(Table1[[#This Row],[Age]]&lt;=18,"Teen",IF(Table1[[#This Row],[Age]]&lt;=21,"Young Adult","Adult"))</f>
        <v>Teen</v>
      </c>
      <c r="N34" t="str">
        <f t="shared" si="0"/>
        <v>High</v>
      </c>
      <c r="O34" t="str">
        <f t="shared" si="1"/>
        <v>High</v>
      </c>
      <c r="P34" t="str">
        <f t="shared" si="2"/>
        <v>Poor</v>
      </c>
      <c r="Q34">
        <f t="shared" si="3"/>
        <v>1</v>
      </c>
      <c r="R34" t="str">
        <f t="shared" si="4"/>
        <v>Average</v>
      </c>
      <c r="S34">
        <f>COUNTIF('Students Social Media Addiction'!O:O,"High")/COUNTA(Table1[Student_ID])</f>
        <v>0.5787234042553191</v>
      </c>
      <c r="T34">
        <f>AVERAGE(Table1[Academic Impact Flag])</f>
        <v>0.64255319148936174</v>
      </c>
      <c r="U34">
        <f>AVERAGE(Table1[Sleep_Hours_Per_Night])</f>
        <v>6.868936170212768</v>
      </c>
      <c r="V34">
        <f>AVERAGE(Table1[Mental_Health_Score])</f>
        <v>6.2269503546099294</v>
      </c>
    </row>
    <row r="35" spans="1:22" x14ac:dyDescent="0.3">
      <c r="A35">
        <v>34</v>
      </c>
      <c r="B35">
        <v>23</v>
      </c>
      <c r="C35" t="s">
        <v>12</v>
      </c>
      <c r="D35" t="s">
        <v>19</v>
      </c>
      <c r="E35" t="s">
        <v>62</v>
      </c>
      <c r="F35">
        <v>2.6</v>
      </c>
      <c r="G35" t="s">
        <v>34</v>
      </c>
      <c r="H35" t="s">
        <v>22</v>
      </c>
      <c r="I35">
        <v>7.2</v>
      </c>
      <c r="J35">
        <v>8</v>
      </c>
      <c r="K35" t="s">
        <v>23</v>
      </c>
      <c r="L35">
        <v>4</v>
      </c>
      <c r="M35" t="str">
        <f>IF(Table1[[#This Row],[Age]]&lt;=18,"Teen",IF(Table1[[#This Row],[Age]]&lt;=21,"Young Adult","Adult"))</f>
        <v>Adult</v>
      </c>
      <c r="N35" t="str">
        <f t="shared" si="0"/>
        <v>Moderate</v>
      </c>
      <c r="O35" t="str">
        <f t="shared" si="1"/>
        <v>Medium</v>
      </c>
      <c r="P35" t="str">
        <f t="shared" si="2"/>
        <v>Healthy</v>
      </c>
      <c r="Q35">
        <f t="shared" si="3"/>
        <v>0</v>
      </c>
      <c r="R35" t="str">
        <f t="shared" si="4"/>
        <v>Good</v>
      </c>
      <c r="S35">
        <f>COUNTIF('Students Social Media Addiction'!O:O,"High")/COUNTA(Table1[Student_ID])</f>
        <v>0.5787234042553191</v>
      </c>
      <c r="T35">
        <f>AVERAGE(Table1[Academic Impact Flag])</f>
        <v>0.64255319148936174</v>
      </c>
      <c r="U35">
        <f>AVERAGE(Table1[Sleep_Hours_Per_Night])</f>
        <v>6.868936170212768</v>
      </c>
      <c r="V35">
        <f>AVERAGE(Table1[Mental_Health_Score])</f>
        <v>6.2269503546099294</v>
      </c>
    </row>
    <row r="36" spans="1:22" x14ac:dyDescent="0.3">
      <c r="A36">
        <v>35</v>
      </c>
      <c r="B36">
        <v>19</v>
      </c>
      <c r="C36" t="s">
        <v>18</v>
      </c>
      <c r="D36" t="s">
        <v>13</v>
      </c>
      <c r="E36" t="s">
        <v>63</v>
      </c>
      <c r="F36">
        <v>4.7</v>
      </c>
      <c r="G36" t="s">
        <v>15</v>
      </c>
      <c r="H36" t="s">
        <v>16</v>
      </c>
      <c r="I36">
        <v>5.8</v>
      </c>
      <c r="J36">
        <v>6</v>
      </c>
      <c r="K36" t="s">
        <v>17</v>
      </c>
      <c r="L36">
        <v>7</v>
      </c>
      <c r="M36" t="str">
        <f>IF(Table1[[#This Row],[Age]]&lt;=18,"Teen",IF(Table1[[#This Row],[Age]]&lt;=21,"Young Adult","Adult"))</f>
        <v>Young Adult</v>
      </c>
      <c r="N36" t="str">
        <f t="shared" si="0"/>
        <v>High</v>
      </c>
      <c r="O36" t="str">
        <f t="shared" si="1"/>
        <v>High</v>
      </c>
      <c r="P36" t="str">
        <f t="shared" si="2"/>
        <v>Poor</v>
      </c>
      <c r="Q36">
        <f t="shared" si="3"/>
        <v>1</v>
      </c>
      <c r="R36" t="str">
        <f t="shared" si="4"/>
        <v>Average</v>
      </c>
      <c r="S36">
        <f>COUNTIF('Students Social Media Addiction'!O:O,"High")/COUNTA(Table1[Student_ID])</f>
        <v>0.5787234042553191</v>
      </c>
      <c r="T36">
        <f>AVERAGE(Table1[Academic Impact Flag])</f>
        <v>0.64255319148936174</v>
      </c>
      <c r="U36">
        <f>AVERAGE(Table1[Sleep_Hours_Per_Night])</f>
        <v>6.868936170212768</v>
      </c>
      <c r="V36">
        <f>AVERAGE(Table1[Mental_Health_Score])</f>
        <v>6.2269503546099294</v>
      </c>
    </row>
    <row r="37" spans="1:22" x14ac:dyDescent="0.3">
      <c r="A37">
        <v>36</v>
      </c>
      <c r="B37">
        <v>20</v>
      </c>
      <c r="C37" t="s">
        <v>12</v>
      </c>
      <c r="D37" t="s">
        <v>13</v>
      </c>
      <c r="E37" t="s">
        <v>64</v>
      </c>
      <c r="F37">
        <v>5.6</v>
      </c>
      <c r="G37" t="s">
        <v>25</v>
      </c>
      <c r="H37" t="s">
        <v>16</v>
      </c>
      <c r="I37">
        <v>5.5</v>
      </c>
      <c r="J37">
        <v>5</v>
      </c>
      <c r="K37" t="s">
        <v>26</v>
      </c>
      <c r="L37">
        <v>8</v>
      </c>
      <c r="M37" t="str">
        <f>IF(Table1[[#This Row],[Age]]&lt;=18,"Teen",IF(Table1[[#This Row],[Age]]&lt;=21,"Young Adult","Adult"))</f>
        <v>Young Adult</v>
      </c>
      <c r="N37" t="str">
        <f t="shared" si="0"/>
        <v>High</v>
      </c>
      <c r="O37" t="str">
        <f t="shared" si="1"/>
        <v>High</v>
      </c>
      <c r="P37" t="str">
        <f t="shared" si="2"/>
        <v>Poor</v>
      </c>
      <c r="Q37">
        <f t="shared" si="3"/>
        <v>1</v>
      </c>
      <c r="R37" t="str">
        <f t="shared" si="4"/>
        <v>Average</v>
      </c>
      <c r="S37">
        <f>COUNTIF('Students Social Media Addiction'!O:O,"High")/COUNTA(Table1[Student_ID])</f>
        <v>0.5787234042553191</v>
      </c>
      <c r="T37">
        <f>AVERAGE(Table1[Academic Impact Flag])</f>
        <v>0.64255319148936174</v>
      </c>
      <c r="U37">
        <f>AVERAGE(Table1[Sleep_Hours_Per_Night])</f>
        <v>6.868936170212768</v>
      </c>
      <c r="V37">
        <f>AVERAGE(Table1[Mental_Health_Score])</f>
        <v>6.2269503546099294</v>
      </c>
    </row>
    <row r="38" spans="1:22" x14ac:dyDescent="0.3">
      <c r="A38">
        <v>37</v>
      </c>
      <c r="B38">
        <v>22</v>
      </c>
      <c r="C38" t="s">
        <v>18</v>
      </c>
      <c r="D38" t="s">
        <v>19</v>
      </c>
      <c r="E38" t="s">
        <v>65</v>
      </c>
      <c r="F38">
        <v>3.1</v>
      </c>
      <c r="G38" t="s">
        <v>31</v>
      </c>
      <c r="H38" t="s">
        <v>22</v>
      </c>
      <c r="I38">
        <v>6.8</v>
      </c>
      <c r="J38">
        <v>7</v>
      </c>
      <c r="K38" t="s">
        <v>23</v>
      </c>
      <c r="L38">
        <v>5</v>
      </c>
      <c r="M38" t="str">
        <f>IF(Table1[[#This Row],[Age]]&lt;=18,"Teen",IF(Table1[[#This Row],[Age]]&lt;=21,"Young Adult","Adult"))</f>
        <v>Adult</v>
      </c>
      <c r="N38" t="str">
        <f t="shared" si="0"/>
        <v>Moderate</v>
      </c>
      <c r="O38" t="str">
        <f t="shared" si="1"/>
        <v>Medium</v>
      </c>
      <c r="P38" t="str">
        <f t="shared" si="2"/>
        <v>Average</v>
      </c>
      <c r="Q38">
        <f t="shared" si="3"/>
        <v>0</v>
      </c>
      <c r="R38" t="str">
        <f t="shared" si="4"/>
        <v>Good</v>
      </c>
      <c r="S38">
        <f>COUNTIF('Students Social Media Addiction'!O:O,"High")/COUNTA(Table1[Student_ID])</f>
        <v>0.5787234042553191</v>
      </c>
      <c r="T38">
        <f>AVERAGE(Table1[Academic Impact Flag])</f>
        <v>0.64255319148936174</v>
      </c>
      <c r="U38">
        <f>AVERAGE(Table1[Sleep_Hours_Per_Night])</f>
        <v>6.868936170212768</v>
      </c>
      <c r="V38">
        <f>AVERAGE(Table1[Mental_Health_Score])</f>
        <v>6.2269503546099294</v>
      </c>
    </row>
    <row r="39" spans="1:22" x14ac:dyDescent="0.3">
      <c r="A39">
        <v>38</v>
      </c>
      <c r="B39">
        <v>19</v>
      </c>
      <c r="C39" t="s">
        <v>12</v>
      </c>
      <c r="D39" t="s">
        <v>27</v>
      </c>
      <c r="E39" t="s">
        <v>66</v>
      </c>
      <c r="F39">
        <v>6.2</v>
      </c>
      <c r="G39" t="s">
        <v>15</v>
      </c>
      <c r="H39" t="s">
        <v>16</v>
      </c>
      <c r="I39">
        <v>5.0999999999999996</v>
      </c>
      <c r="J39">
        <v>5</v>
      </c>
      <c r="K39" t="s">
        <v>17</v>
      </c>
      <c r="L39">
        <v>9</v>
      </c>
      <c r="M39" t="str">
        <f>IF(Table1[[#This Row],[Age]]&lt;=18,"Teen",IF(Table1[[#This Row],[Age]]&lt;=21,"Young Adult","Adult"))</f>
        <v>Young Adult</v>
      </c>
      <c r="N39" t="str">
        <f t="shared" si="0"/>
        <v>Very High</v>
      </c>
      <c r="O39" t="str">
        <f t="shared" si="1"/>
        <v>High</v>
      </c>
      <c r="P39" t="str">
        <f t="shared" si="2"/>
        <v>Poor</v>
      </c>
      <c r="Q39">
        <f t="shared" si="3"/>
        <v>1</v>
      </c>
      <c r="R39" t="str">
        <f t="shared" si="4"/>
        <v>Average</v>
      </c>
      <c r="S39">
        <f>COUNTIF('Students Social Media Addiction'!O:O,"High")/COUNTA(Table1[Student_ID])</f>
        <v>0.5787234042553191</v>
      </c>
      <c r="T39">
        <f>AVERAGE(Table1[Academic Impact Flag])</f>
        <v>0.64255319148936174</v>
      </c>
      <c r="U39">
        <f>AVERAGE(Table1[Sleep_Hours_Per_Night])</f>
        <v>6.868936170212768</v>
      </c>
      <c r="V39">
        <f>AVERAGE(Table1[Mental_Health_Score])</f>
        <v>6.2269503546099294</v>
      </c>
    </row>
    <row r="40" spans="1:22" x14ac:dyDescent="0.3">
      <c r="A40">
        <v>39</v>
      </c>
      <c r="B40">
        <v>21</v>
      </c>
      <c r="C40" t="s">
        <v>18</v>
      </c>
      <c r="D40" t="s">
        <v>13</v>
      </c>
      <c r="E40" t="s">
        <v>67</v>
      </c>
      <c r="F40">
        <v>3.9</v>
      </c>
      <c r="G40" t="s">
        <v>29</v>
      </c>
      <c r="H40" t="s">
        <v>22</v>
      </c>
      <c r="I40">
        <v>6.5</v>
      </c>
      <c r="J40">
        <v>7</v>
      </c>
      <c r="K40" t="s">
        <v>26</v>
      </c>
      <c r="L40">
        <v>6</v>
      </c>
      <c r="M40" t="str">
        <f>IF(Table1[[#This Row],[Age]]&lt;=18,"Teen",IF(Table1[[#This Row],[Age]]&lt;=21,"Young Adult","Adult"))</f>
        <v>Young Adult</v>
      </c>
      <c r="N40" t="str">
        <f t="shared" si="0"/>
        <v>Moderate</v>
      </c>
      <c r="O40" t="str">
        <f t="shared" si="1"/>
        <v>Medium</v>
      </c>
      <c r="P40" t="str">
        <f t="shared" si="2"/>
        <v>Average</v>
      </c>
      <c r="Q40">
        <f t="shared" si="3"/>
        <v>0</v>
      </c>
      <c r="R40" t="str">
        <f t="shared" si="4"/>
        <v>Good</v>
      </c>
      <c r="S40">
        <f>COUNTIF('Students Social Media Addiction'!O:O,"High")/COUNTA(Table1[Student_ID])</f>
        <v>0.5787234042553191</v>
      </c>
      <c r="T40">
        <f>AVERAGE(Table1[Academic Impact Flag])</f>
        <v>0.64255319148936174</v>
      </c>
      <c r="U40">
        <f>AVERAGE(Table1[Sleep_Hours_Per_Night])</f>
        <v>6.868936170212768</v>
      </c>
      <c r="V40">
        <f>AVERAGE(Table1[Mental_Health_Score])</f>
        <v>6.2269503546099294</v>
      </c>
    </row>
    <row r="41" spans="1:22" x14ac:dyDescent="0.3">
      <c r="A41">
        <v>40</v>
      </c>
      <c r="B41">
        <v>20</v>
      </c>
      <c r="C41" t="s">
        <v>12</v>
      </c>
      <c r="D41" t="s">
        <v>13</v>
      </c>
      <c r="E41" t="s">
        <v>68</v>
      </c>
      <c r="F41">
        <v>4.5</v>
      </c>
      <c r="G41" t="s">
        <v>25</v>
      </c>
      <c r="H41" t="s">
        <v>16</v>
      </c>
      <c r="I41">
        <v>5.8</v>
      </c>
      <c r="J41">
        <v>6</v>
      </c>
      <c r="K41" t="s">
        <v>23</v>
      </c>
      <c r="L41">
        <v>7</v>
      </c>
      <c r="M41" t="str">
        <f>IF(Table1[[#This Row],[Age]]&lt;=18,"Teen",IF(Table1[[#This Row],[Age]]&lt;=21,"Young Adult","Adult"))</f>
        <v>Young Adult</v>
      </c>
      <c r="N41" t="str">
        <f t="shared" si="0"/>
        <v>High</v>
      </c>
      <c r="O41" t="str">
        <f t="shared" si="1"/>
        <v>High</v>
      </c>
      <c r="P41" t="str">
        <f t="shared" si="2"/>
        <v>Poor</v>
      </c>
      <c r="Q41">
        <f t="shared" si="3"/>
        <v>1</v>
      </c>
      <c r="R41" t="str">
        <f t="shared" si="4"/>
        <v>Average</v>
      </c>
      <c r="S41">
        <f>COUNTIF('Students Social Media Addiction'!O:O,"High")/COUNTA(Table1[Student_ID])</f>
        <v>0.5787234042553191</v>
      </c>
      <c r="T41">
        <f>AVERAGE(Table1[Academic Impact Flag])</f>
        <v>0.64255319148936174</v>
      </c>
      <c r="U41">
        <f>AVERAGE(Table1[Sleep_Hours_Per_Night])</f>
        <v>6.868936170212768</v>
      </c>
      <c r="V41">
        <f>AVERAGE(Table1[Mental_Health_Score])</f>
        <v>6.2269503546099294</v>
      </c>
    </row>
    <row r="42" spans="1:22" x14ac:dyDescent="0.3">
      <c r="A42">
        <v>41</v>
      </c>
      <c r="B42">
        <v>24</v>
      </c>
      <c r="C42" t="s">
        <v>18</v>
      </c>
      <c r="D42" t="s">
        <v>19</v>
      </c>
      <c r="E42" t="s">
        <v>69</v>
      </c>
      <c r="F42">
        <v>2.2999999999999998</v>
      </c>
      <c r="G42" t="s">
        <v>34</v>
      </c>
      <c r="H42" t="s">
        <v>22</v>
      </c>
      <c r="I42">
        <v>7.3</v>
      </c>
      <c r="J42">
        <v>8</v>
      </c>
      <c r="K42" t="s">
        <v>17</v>
      </c>
      <c r="L42">
        <v>4</v>
      </c>
      <c r="M42" t="str">
        <f>IF(Table1[[#This Row],[Age]]&lt;=18,"Teen",IF(Table1[[#This Row],[Age]]&lt;=21,"Young Adult","Adult"))</f>
        <v>Adult</v>
      </c>
      <c r="N42" t="str">
        <f t="shared" si="0"/>
        <v>Moderate</v>
      </c>
      <c r="O42" t="str">
        <f t="shared" si="1"/>
        <v>Medium</v>
      </c>
      <c r="P42" t="str">
        <f t="shared" si="2"/>
        <v>Healthy</v>
      </c>
      <c r="Q42">
        <f t="shared" si="3"/>
        <v>0</v>
      </c>
      <c r="R42" t="str">
        <f t="shared" si="4"/>
        <v>Good</v>
      </c>
      <c r="S42">
        <f>COUNTIF('Students Social Media Addiction'!O:O,"High")/COUNTA(Table1[Student_ID])</f>
        <v>0.5787234042553191</v>
      </c>
      <c r="T42">
        <f>AVERAGE(Table1[Academic Impact Flag])</f>
        <v>0.64255319148936174</v>
      </c>
      <c r="U42">
        <f>AVERAGE(Table1[Sleep_Hours_Per_Night])</f>
        <v>6.868936170212768</v>
      </c>
      <c r="V42">
        <f>AVERAGE(Table1[Mental_Health_Score])</f>
        <v>6.2269503546099294</v>
      </c>
    </row>
    <row r="43" spans="1:22" x14ac:dyDescent="0.3">
      <c r="A43">
        <v>42</v>
      </c>
      <c r="B43">
        <v>19</v>
      </c>
      <c r="C43" t="s">
        <v>12</v>
      </c>
      <c r="D43" t="s">
        <v>27</v>
      </c>
      <c r="E43" t="s">
        <v>70</v>
      </c>
      <c r="F43">
        <v>5.8</v>
      </c>
      <c r="G43" t="s">
        <v>15</v>
      </c>
      <c r="H43" t="s">
        <v>16</v>
      </c>
      <c r="I43">
        <v>5.4</v>
      </c>
      <c r="J43">
        <v>5</v>
      </c>
      <c r="K43" t="s">
        <v>26</v>
      </c>
      <c r="L43">
        <v>8</v>
      </c>
      <c r="M43" t="str">
        <f>IF(Table1[[#This Row],[Age]]&lt;=18,"Teen",IF(Table1[[#This Row],[Age]]&lt;=21,"Young Adult","Adult"))</f>
        <v>Young Adult</v>
      </c>
      <c r="N43" t="str">
        <f t="shared" si="0"/>
        <v>High</v>
      </c>
      <c r="O43" t="str">
        <f t="shared" si="1"/>
        <v>High</v>
      </c>
      <c r="P43" t="str">
        <f t="shared" si="2"/>
        <v>Poor</v>
      </c>
      <c r="Q43">
        <f t="shared" si="3"/>
        <v>1</v>
      </c>
      <c r="R43" t="str">
        <f t="shared" si="4"/>
        <v>Average</v>
      </c>
      <c r="S43">
        <f>COUNTIF('Students Social Media Addiction'!O:O,"High")/COUNTA(Table1[Student_ID])</f>
        <v>0.5787234042553191</v>
      </c>
      <c r="T43">
        <f>AVERAGE(Table1[Academic Impact Flag])</f>
        <v>0.64255319148936174</v>
      </c>
      <c r="U43">
        <f>AVERAGE(Table1[Sleep_Hours_Per_Night])</f>
        <v>6.868936170212768</v>
      </c>
      <c r="V43">
        <f>AVERAGE(Table1[Mental_Health_Score])</f>
        <v>6.2269503546099294</v>
      </c>
    </row>
    <row r="44" spans="1:22" x14ac:dyDescent="0.3">
      <c r="A44">
        <v>43</v>
      </c>
      <c r="B44">
        <v>21</v>
      </c>
      <c r="C44" t="s">
        <v>18</v>
      </c>
      <c r="D44" t="s">
        <v>13</v>
      </c>
      <c r="E44" t="s">
        <v>71</v>
      </c>
      <c r="F44">
        <v>3.7</v>
      </c>
      <c r="G44" t="s">
        <v>31</v>
      </c>
      <c r="H44" t="s">
        <v>22</v>
      </c>
      <c r="I44">
        <v>6.6</v>
      </c>
      <c r="J44">
        <v>7</v>
      </c>
      <c r="K44" t="s">
        <v>23</v>
      </c>
      <c r="L44">
        <v>5</v>
      </c>
      <c r="M44" t="str">
        <f>IF(Table1[[#This Row],[Age]]&lt;=18,"Teen",IF(Table1[[#This Row],[Age]]&lt;=21,"Young Adult","Adult"))</f>
        <v>Young Adult</v>
      </c>
      <c r="N44" t="str">
        <f t="shared" si="0"/>
        <v>Moderate</v>
      </c>
      <c r="O44" t="str">
        <f t="shared" si="1"/>
        <v>Medium</v>
      </c>
      <c r="P44" t="str">
        <f t="shared" si="2"/>
        <v>Average</v>
      </c>
      <c r="Q44">
        <f t="shared" si="3"/>
        <v>0</v>
      </c>
      <c r="R44" t="str">
        <f t="shared" si="4"/>
        <v>Good</v>
      </c>
      <c r="S44">
        <f>COUNTIF('Students Social Media Addiction'!O:O,"High")/COUNTA(Table1[Student_ID])</f>
        <v>0.5787234042553191</v>
      </c>
      <c r="T44">
        <f>AVERAGE(Table1[Academic Impact Flag])</f>
        <v>0.64255319148936174</v>
      </c>
      <c r="U44">
        <f>AVERAGE(Table1[Sleep_Hours_Per_Night])</f>
        <v>6.868936170212768</v>
      </c>
      <c r="V44">
        <f>AVERAGE(Table1[Mental_Health_Score])</f>
        <v>6.2269503546099294</v>
      </c>
    </row>
    <row r="45" spans="1:22" x14ac:dyDescent="0.3">
      <c r="A45">
        <v>44</v>
      </c>
      <c r="B45">
        <v>20</v>
      </c>
      <c r="C45" t="s">
        <v>12</v>
      </c>
      <c r="D45" t="s">
        <v>13</v>
      </c>
      <c r="E45" t="s">
        <v>72</v>
      </c>
      <c r="F45">
        <v>4.5999999999999996</v>
      </c>
      <c r="G45" t="s">
        <v>36</v>
      </c>
      <c r="H45" t="s">
        <v>16</v>
      </c>
      <c r="I45">
        <v>5.7</v>
      </c>
      <c r="J45">
        <v>6</v>
      </c>
      <c r="K45" t="s">
        <v>17</v>
      </c>
      <c r="L45">
        <v>7</v>
      </c>
      <c r="M45" t="str">
        <f>IF(Table1[[#This Row],[Age]]&lt;=18,"Teen",IF(Table1[[#This Row],[Age]]&lt;=21,"Young Adult","Adult"))</f>
        <v>Young Adult</v>
      </c>
      <c r="N45" t="str">
        <f t="shared" si="0"/>
        <v>High</v>
      </c>
      <c r="O45" t="str">
        <f t="shared" si="1"/>
        <v>High</v>
      </c>
      <c r="P45" t="str">
        <f t="shared" si="2"/>
        <v>Poor</v>
      </c>
      <c r="Q45">
        <f t="shared" si="3"/>
        <v>1</v>
      </c>
      <c r="R45" t="str">
        <f t="shared" si="4"/>
        <v>Average</v>
      </c>
      <c r="S45">
        <f>COUNTIF('Students Social Media Addiction'!O:O,"High")/COUNTA(Table1[Student_ID])</f>
        <v>0.5787234042553191</v>
      </c>
      <c r="T45">
        <f>AVERAGE(Table1[Academic Impact Flag])</f>
        <v>0.64255319148936174</v>
      </c>
      <c r="U45">
        <f>AVERAGE(Table1[Sleep_Hours_Per_Night])</f>
        <v>6.868936170212768</v>
      </c>
      <c r="V45">
        <f>AVERAGE(Table1[Mental_Health_Score])</f>
        <v>6.2269503546099294</v>
      </c>
    </row>
    <row r="46" spans="1:22" x14ac:dyDescent="0.3">
      <c r="A46">
        <v>45</v>
      </c>
      <c r="B46">
        <v>18</v>
      </c>
      <c r="C46" t="s">
        <v>18</v>
      </c>
      <c r="D46" t="s">
        <v>27</v>
      </c>
      <c r="E46" t="s">
        <v>73</v>
      </c>
      <c r="F46">
        <v>5.5</v>
      </c>
      <c r="G46" t="s">
        <v>25</v>
      </c>
      <c r="H46" t="s">
        <v>16</v>
      </c>
      <c r="I46">
        <v>5.3</v>
      </c>
      <c r="J46">
        <v>5</v>
      </c>
      <c r="K46" t="s">
        <v>23</v>
      </c>
      <c r="L46">
        <v>8</v>
      </c>
      <c r="M46" t="str">
        <f>IF(Table1[[#This Row],[Age]]&lt;=18,"Teen",IF(Table1[[#This Row],[Age]]&lt;=21,"Young Adult","Adult"))</f>
        <v>Teen</v>
      </c>
      <c r="N46" t="str">
        <f t="shared" si="0"/>
        <v>High</v>
      </c>
      <c r="O46" t="str">
        <f t="shared" si="1"/>
        <v>High</v>
      </c>
      <c r="P46" t="str">
        <f t="shared" si="2"/>
        <v>Poor</v>
      </c>
      <c r="Q46">
        <f t="shared" si="3"/>
        <v>1</v>
      </c>
      <c r="R46" t="str">
        <f t="shared" si="4"/>
        <v>Average</v>
      </c>
      <c r="S46">
        <f>COUNTIF('Students Social Media Addiction'!O:O,"High")/COUNTA(Table1[Student_ID])</f>
        <v>0.5787234042553191</v>
      </c>
      <c r="T46">
        <f>AVERAGE(Table1[Academic Impact Flag])</f>
        <v>0.64255319148936174</v>
      </c>
      <c r="U46">
        <f>AVERAGE(Table1[Sleep_Hours_Per_Night])</f>
        <v>6.868936170212768</v>
      </c>
      <c r="V46">
        <f>AVERAGE(Table1[Mental_Health_Score])</f>
        <v>6.2269503546099294</v>
      </c>
    </row>
    <row r="47" spans="1:22" x14ac:dyDescent="0.3">
      <c r="A47">
        <v>46</v>
      </c>
      <c r="B47">
        <v>23</v>
      </c>
      <c r="C47" t="s">
        <v>12</v>
      </c>
      <c r="D47" t="s">
        <v>19</v>
      </c>
      <c r="E47" t="s">
        <v>74</v>
      </c>
      <c r="F47">
        <v>2.7</v>
      </c>
      <c r="G47" t="s">
        <v>34</v>
      </c>
      <c r="H47" t="s">
        <v>22</v>
      </c>
      <c r="I47">
        <v>7.1</v>
      </c>
      <c r="J47">
        <v>8</v>
      </c>
      <c r="K47" t="s">
        <v>26</v>
      </c>
      <c r="L47">
        <v>4</v>
      </c>
      <c r="M47" t="str">
        <f>IF(Table1[[#This Row],[Age]]&lt;=18,"Teen",IF(Table1[[#This Row],[Age]]&lt;=21,"Young Adult","Adult"))</f>
        <v>Adult</v>
      </c>
      <c r="N47" t="str">
        <f t="shared" si="0"/>
        <v>Moderate</v>
      </c>
      <c r="O47" t="str">
        <f t="shared" si="1"/>
        <v>Medium</v>
      </c>
      <c r="P47" t="str">
        <f t="shared" si="2"/>
        <v>Healthy</v>
      </c>
      <c r="Q47">
        <f t="shared" si="3"/>
        <v>0</v>
      </c>
      <c r="R47" t="str">
        <f t="shared" si="4"/>
        <v>Good</v>
      </c>
      <c r="S47">
        <f>COUNTIF('Students Social Media Addiction'!O:O,"High")/COUNTA(Table1[Student_ID])</f>
        <v>0.5787234042553191</v>
      </c>
      <c r="T47">
        <f>AVERAGE(Table1[Academic Impact Flag])</f>
        <v>0.64255319148936174</v>
      </c>
      <c r="U47">
        <f>AVERAGE(Table1[Sleep_Hours_Per_Night])</f>
        <v>6.868936170212768</v>
      </c>
      <c r="V47">
        <f>AVERAGE(Table1[Mental_Health_Score])</f>
        <v>6.2269503546099294</v>
      </c>
    </row>
    <row r="48" spans="1:22" x14ac:dyDescent="0.3">
      <c r="A48">
        <v>47</v>
      </c>
      <c r="B48">
        <v>19</v>
      </c>
      <c r="C48" t="s">
        <v>18</v>
      </c>
      <c r="D48" t="s">
        <v>13</v>
      </c>
      <c r="E48" t="s">
        <v>75</v>
      </c>
      <c r="F48">
        <v>4.8</v>
      </c>
      <c r="G48" t="s">
        <v>15</v>
      </c>
      <c r="H48" t="s">
        <v>16</v>
      </c>
      <c r="I48">
        <v>5.9</v>
      </c>
      <c r="J48">
        <v>6</v>
      </c>
      <c r="K48" t="s">
        <v>17</v>
      </c>
      <c r="L48">
        <v>7</v>
      </c>
      <c r="M48" t="str">
        <f>IF(Table1[[#This Row],[Age]]&lt;=18,"Teen",IF(Table1[[#This Row],[Age]]&lt;=21,"Young Adult","Adult"))</f>
        <v>Young Adult</v>
      </c>
      <c r="N48" t="str">
        <f t="shared" si="0"/>
        <v>High</v>
      </c>
      <c r="O48" t="str">
        <f t="shared" si="1"/>
        <v>High</v>
      </c>
      <c r="P48" t="str">
        <f t="shared" si="2"/>
        <v>Poor</v>
      </c>
      <c r="Q48">
        <f t="shared" si="3"/>
        <v>1</v>
      </c>
      <c r="R48" t="str">
        <f t="shared" si="4"/>
        <v>Average</v>
      </c>
      <c r="S48">
        <f>COUNTIF('Students Social Media Addiction'!O:O,"High")/COUNTA(Table1[Student_ID])</f>
        <v>0.5787234042553191</v>
      </c>
      <c r="T48">
        <f>AVERAGE(Table1[Academic Impact Flag])</f>
        <v>0.64255319148936174</v>
      </c>
      <c r="U48">
        <f>AVERAGE(Table1[Sleep_Hours_Per_Night])</f>
        <v>6.868936170212768</v>
      </c>
      <c r="V48">
        <f>AVERAGE(Table1[Mental_Health_Score])</f>
        <v>6.2269503546099294</v>
      </c>
    </row>
    <row r="49" spans="1:22" x14ac:dyDescent="0.3">
      <c r="A49">
        <v>48</v>
      </c>
      <c r="B49">
        <v>20</v>
      </c>
      <c r="C49" t="s">
        <v>12</v>
      </c>
      <c r="D49" t="s">
        <v>13</v>
      </c>
      <c r="E49" t="s">
        <v>76</v>
      </c>
      <c r="F49">
        <v>5.5</v>
      </c>
      <c r="G49" t="s">
        <v>25</v>
      </c>
      <c r="H49" t="s">
        <v>16</v>
      </c>
      <c r="I49">
        <v>5.6</v>
      </c>
      <c r="J49">
        <v>5</v>
      </c>
      <c r="K49" t="s">
        <v>23</v>
      </c>
      <c r="L49">
        <v>8</v>
      </c>
      <c r="M49" t="str">
        <f>IF(Table1[[#This Row],[Age]]&lt;=18,"Teen",IF(Table1[[#This Row],[Age]]&lt;=21,"Young Adult","Adult"))</f>
        <v>Young Adult</v>
      </c>
      <c r="N49" t="str">
        <f t="shared" si="0"/>
        <v>High</v>
      </c>
      <c r="O49" t="str">
        <f t="shared" si="1"/>
        <v>High</v>
      </c>
      <c r="P49" t="str">
        <f t="shared" si="2"/>
        <v>Poor</v>
      </c>
      <c r="Q49">
        <f t="shared" si="3"/>
        <v>1</v>
      </c>
      <c r="R49" t="str">
        <f t="shared" si="4"/>
        <v>Average</v>
      </c>
      <c r="S49">
        <f>COUNTIF('Students Social Media Addiction'!O:O,"High")/COUNTA(Table1[Student_ID])</f>
        <v>0.5787234042553191</v>
      </c>
      <c r="T49">
        <f>AVERAGE(Table1[Academic Impact Flag])</f>
        <v>0.64255319148936174</v>
      </c>
      <c r="U49">
        <f>AVERAGE(Table1[Sleep_Hours_Per_Night])</f>
        <v>6.868936170212768</v>
      </c>
      <c r="V49">
        <f>AVERAGE(Table1[Mental_Health_Score])</f>
        <v>6.2269503546099294</v>
      </c>
    </row>
    <row r="50" spans="1:22" x14ac:dyDescent="0.3">
      <c r="A50">
        <v>49</v>
      </c>
      <c r="B50">
        <v>22</v>
      </c>
      <c r="C50" t="s">
        <v>18</v>
      </c>
      <c r="D50" t="s">
        <v>19</v>
      </c>
      <c r="E50" t="s">
        <v>77</v>
      </c>
      <c r="F50">
        <v>3.3</v>
      </c>
      <c r="G50" t="s">
        <v>31</v>
      </c>
      <c r="H50" t="s">
        <v>22</v>
      </c>
      <c r="I50">
        <v>6.7</v>
      </c>
      <c r="J50">
        <v>7</v>
      </c>
      <c r="K50" t="s">
        <v>17</v>
      </c>
      <c r="L50">
        <v>5</v>
      </c>
      <c r="M50" t="str">
        <f>IF(Table1[[#This Row],[Age]]&lt;=18,"Teen",IF(Table1[[#This Row],[Age]]&lt;=21,"Young Adult","Adult"))</f>
        <v>Adult</v>
      </c>
      <c r="N50" t="str">
        <f t="shared" si="0"/>
        <v>Moderate</v>
      </c>
      <c r="O50" t="str">
        <f t="shared" si="1"/>
        <v>Medium</v>
      </c>
      <c r="P50" t="str">
        <f t="shared" si="2"/>
        <v>Average</v>
      </c>
      <c r="Q50">
        <f t="shared" si="3"/>
        <v>0</v>
      </c>
      <c r="R50" t="str">
        <f t="shared" si="4"/>
        <v>Good</v>
      </c>
      <c r="S50">
        <f>COUNTIF('Students Social Media Addiction'!O:O,"High")/COUNTA(Table1[Student_ID])</f>
        <v>0.5787234042553191</v>
      </c>
      <c r="T50">
        <f>AVERAGE(Table1[Academic Impact Flag])</f>
        <v>0.64255319148936174</v>
      </c>
      <c r="U50">
        <f>AVERAGE(Table1[Sleep_Hours_Per_Night])</f>
        <v>6.868936170212768</v>
      </c>
      <c r="V50">
        <f>AVERAGE(Table1[Mental_Health_Score])</f>
        <v>6.2269503546099294</v>
      </c>
    </row>
    <row r="51" spans="1:22" x14ac:dyDescent="0.3">
      <c r="A51">
        <v>50</v>
      </c>
      <c r="B51">
        <v>19</v>
      </c>
      <c r="C51" t="s">
        <v>12</v>
      </c>
      <c r="D51" t="s">
        <v>27</v>
      </c>
      <c r="E51" t="s">
        <v>78</v>
      </c>
      <c r="F51">
        <v>6.3</v>
      </c>
      <c r="G51" t="s">
        <v>15</v>
      </c>
      <c r="H51" t="s">
        <v>16</v>
      </c>
      <c r="I51">
        <v>5.2</v>
      </c>
      <c r="J51">
        <v>5</v>
      </c>
      <c r="K51" t="s">
        <v>26</v>
      </c>
      <c r="L51">
        <v>9</v>
      </c>
      <c r="M51" t="str">
        <f>IF(Table1[[#This Row],[Age]]&lt;=18,"Teen",IF(Table1[[#This Row],[Age]]&lt;=21,"Young Adult","Adult"))</f>
        <v>Young Adult</v>
      </c>
      <c r="N51" t="str">
        <f t="shared" si="0"/>
        <v>Very High</v>
      </c>
      <c r="O51" t="str">
        <f t="shared" si="1"/>
        <v>High</v>
      </c>
      <c r="P51" t="str">
        <f t="shared" si="2"/>
        <v>Poor</v>
      </c>
      <c r="Q51">
        <f t="shared" si="3"/>
        <v>1</v>
      </c>
      <c r="R51" t="str">
        <f t="shared" si="4"/>
        <v>Average</v>
      </c>
      <c r="S51">
        <f>COUNTIF('Students Social Media Addiction'!O:O,"High")/COUNTA(Table1[Student_ID])</f>
        <v>0.5787234042553191</v>
      </c>
      <c r="T51">
        <f>AVERAGE(Table1[Academic Impact Flag])</f>
        <v>0.64255319148936174</v>
      </c>
      <c r="U51">
        <f>AVERAGE(Table1[Sleep_Hours_Per_Night])</f>
        <v>6.868936170212768</v>
      </c>
      <c r="V51">
        <f>AVERAGE(Table1[Mental_Health_Score])</f>
        <v>6.2269503546099294</v>
      </c>
    </row>
    <row r="52" spans="1:22" x14ac:dyDescent="0.3">
      <c r="A52">
        <v>51</v>
      </c>
      <c r="B52">
        <v>21</v>
      </c>
      <c r="C52" t="s">
        <v>18</v>
      </c>
      <c r="D52" t="s">
        <v>13</v>
      </c>
      <c r="E52" t="s">
        <v>79</v>
      </c>
      <c r="F52">
        <v>3.8</v>
      </c>
      <c r="G52" t="s">
        <v>29</v>
      </c>
      <c r="H52" t="s">
        <v>22</v>
      </c>
      <c r="I52">
        <v>6.4</v>
      </c>
      <c r="J52">
        <v>7</v>
      </c>
      <c r="K52" t="s">
        <v>23</v>
      </c>
      <c r="L52">
        <v>6</v>
      </c>
      <c r="M52" t="str">
        <f>IF(Table1[[#This Row],[Age]]&lt;=18,"Teen",IF(Table1[[#This Row],[Age]]&lt;=21,"Young Adult","Adult"))</f>
        <v>Young Adult</v>
      </c>
      <c r="N52" t="str">
        <f t="shared" si="0"/>
        <v>Moderate</v>
      </c>
      <c r="O52" t="str">
        <f t="shared" si="1"/>
        <v>Medium</v>
      </c>
      <c r="P52" t="str">
        <f t="shared" si="2"/>
        <v>Average</v>
      </c>
      <c r="Q52">
        <f t="shared" si="3"/>
        <v>0</v>
      </c>
      <c r="R52" t="str">
        <f t="shared" si="4"/>
        <v>Good</v>
      </c>
      <c r="S52">
        <f>COUNTIF('Students Social Media Addiction'!O:O,"High")/COUNTA(Table1[Student_ID])</f>
        <v>0.5787234042553191</v>
      </c>
      <c r="T52">
        <f>AVERAGE(Table1[Academic Impact Flag])</f>
        <v>0.64255319148936174</v>
      </c>
      <c r="U52">
        <f>AVERAGE(Table1[Sleep_Hours_Per_Night])</f>
        <v>6.868936170212768</v>
      </c>
      <c r="V52">
        <f>AVERAGE(Table1[Mental_Health_Score])</f>
        <v>6.2269503546099294</v>
      </c>
    </row>
    <row r="53" spans="1:22" x14ac:dyDescent="0.3">
      <c r="A53">
        <v>52</v>
      </c>
      <c r="B53">
        <v>20</v>
      </c>
      <c r="C53" t="s">
        <v>12</v>
      </c>
      <c r="D53" t="s">
        <v>13</v>
      </c>
      <c r="E53" t="s">
        <v>80</v>
      </c>
      <c r="F53">
        <v>4.7</v>
      </c>
      <c r="G53" t="s">
        <v>25</v>
      </c>
      <c r="H53" t="s">
        <v>16</v>
      </c>
      <c r="I53">
        <v>5.8</v>
      </c>
      <c r="J53">
        <v>6</v>
      </c>
      <c r="K53" t="s">
        <v>17</v>
      </c>
      <c r="L53">
        <v>7</v>
      </c>
      <c r="M53" t="str">
        <f>IF(Table1[[#This Row],[Age]]&lt;=18,"Teen",IF(Table1[[#This Row],[Age]]&lt;=21,"Young Adult","Adult"))</f>
        <v>Young Adult</v>
      </c>
      <c r="N53" t="str">
        <f t="shared" si="0"/>
        <v>High</v>
      </c>
      <c r="O53" t="str">
        <f t="shared" si="1"/>
        <v>High</v>
      </c>
      <c r="P53" t="str">
        <f t="shared" si="2"/>
        <v>Poor</v>
      </c>
      <c r="Q53">
        <f t="shared" si="3"/>
        <v>1</v>
      </c>
      <c r="R53" t="str">
        <f t="shared" si="4"/>
        <v>Average</v>
      </c>
      <c r="S53">
        <f>COUNTIF('Students Social Media Addiction'!O:O,"High")/COUNTA(Table1[Student_ID])</f>
        <v>0.5787234042553191</v>
      </c>
      <c r="T53">
        <f>AVERAGE(Table1[Academic Impact Flag])</f>
        <v>0.64255319148936174</v>
      </c>
      <c r="U53">
        <f>AVERAGE(Table1[Sleep_Hours_Per_Night])</f>
        <v>6.868936170212768</v>
      </c>
      <c r="V53">
        <f>AVERAGE(Table1[Mental_Health_Score])</f>
        <v>6.2269503546099294</v>
      </c>
    </row>
    <row r="54" spans="1:22" x14ac:dyDescent="0.3">
      <c r="A54">
        <v>53</v>
      </c>
      <c r="B54">
        <v>24</v>
      </c>
      <c r="C54" t="s">
        <v>18</v>
      </c>
      <c r="D54" t="s">
        <v>19</v>
      </c>
      <c r="E54" t="s">
        <v>81</v>
      </c>
      <c r="F54">
        <v>2.4</v>
      </c>
      <c r="G54" t="s">
        <v>34</v>
      </c>
      <c r="H54" t="s">
        <v>22</v>
      </c>
      <c r="I54">
        <v>7.2</v>
      </c>
      <c r="J54">
        <v>8</v>
      </c>
      <c r="K54" t="s">
        <v>26</v>
      </c>
      <c r="L54">
        <v>4</v>
      </c>
      <c r="M54" t="str">
        <f>IF(Table1[[#This Row],[Age]]&lt;=18,"Teen",IF(Table1[[#This Row],[Age]]&lt;=21,"Young Adult","Adult"))</f>
        <v>Adult</v>
      </c>
      <c r="N54" t="str">
        <f t="shared" si="0"/>
        <v>Moderate</v>
      </c>
      <c r="O54" t="str">
        <f t="shared" si="1"/>
        <v>Medium</v>
      </c>
      <c r="P54" t="str">
        <f t="shared" si="2"/>
        <v>Healthy</v>
      </c>
      <c r="Q54">
        <f t="shared" si="3"/>
        <v>0</v>
      </c>
      <c r="R54" t="str">
        <f t="shared" si="4"/>
        <v>Good</v>
      </c>
      <c r="S54">
        <f>COUNTIF('Students Social Media Addiction'!O:O,"High")/COUNTA(Table1[Student_ID])</f>
        <v>0.5787234042553191</v>
      </c>
      <c r="T54">
        <f>AVERAGE(Table1[Academic Impact Flag])</f>
        <v>0.64255319148936174</v>
      </c>
      <c r="U54">
        <f>AVERAGE(Table1[Sleep_Hours_Per_Night])</f>
        <v>6.868936170212768</v>
      </c>
      <c r="V54">
        <f>AVERAGE(Table1[Mental_Health_Score])</f>
        <v>6.2269503546099294</v>
      </c>
    </row>
    <row r="55" spans="1:22" x14ac:dyDescent="0.3">
      <c r="A55">
        <v>54</v>
      </c>
      <c r="B55">
        <v>19</v>
      </c>
      <c r="C55" t="s">
        <v>12</v>
      </c>
      <c r="D55" t="s">
        <v>27</v>
      </c>
      <c r="E55" t="s">
        <v>82</v>
      </c>
      <c r="F55">
        <v>5.7</v>
      </c>
      <c r="G55" t="s">
        <v>15</v>
      </c>
      <c r="H55" t="s">
        <v>16</v>
      </c>
      <c r="I55">
        <v>5.5</v>
      </c>
      <c r="J55">
        <v>5</v>
      </c>
      <c r="K55" t="s">
        <v>23</v>
      </c>
      <c r="L55">
        <v>8</v>
      </c>
      <c r="M55" t="str">
        <f>IF(Table1[[#This Row],[Age]]&lt;=18,"Teen",IF(Table1[[#This Row],[Age]]&lt;=21,"Young Adult","Adult"))</f>
        <v>Young Adult</v>
      </c>
      <c r="N55" t="str">
        <f t="shared" si="0"/>
        <v>High</v>
      </c>
      <c r="O55" t="str">
        <f t="shared" si="1"/>
        <v>High</v>
      </c>
      <c r="P55" t="str">
        <f t="shared" si="2"/>
        <v>Poor</v>
      </c>
      <c r="Q55">
        <f t="shared" si="3"/>
        <v>1</v>
      </c>
      <c r="R55" t="str">
        <f t="shared" si="4"/>
        <v>Average</v>
      </c>
      <c r="S55">
        <f>COUNTIF('Students Social Media Addiction'!O:O,"High")/COUNTA(Table1[Student_ID])</f>
        <v>0.5787234042553191</v>
      </c>
      <c r="T55">
        <f>AVERAGE(Table1[Academic Impact Flag])</f>
        <v>0.64255319148936174</v>
      </c>
      <c r="U55">
        <f>AVERAGE(Table1[Sleep_Hours_Per_Night])</f>
        <v>6.868936170212768</v>
      </c>
      <c r="V55">
        <f>AVERAGE(Table1[Mental_Health_Score])</f>
        <v>6.2269503546099294</v>
      </c>
    </row>
    <row r="56" spans="1:22" x14ac:dyDescent="0.3">
      <c r="A56">
        <v>55</v>
      </c>
      <c r="B56">
        <v>21</v>
      </c>
      <c r="C56" t="s">
        <v>18</v>
      </c>
      <c r="D56" t="s">
        <v>13</v>
      </c>
      <c r="E56" t="s">
        <v>83</v>
      </c>
      <c r="F56">
        <v>3.6</v>
      </c>
      <c r="G56" t="s">
        <v>31</v>
      </c>
      <c r="H56" t="s">
        <v>22</v>
      </c>
      <c r="I56">
        <v>6.5</v>
      </c>
      <c r="J56">
        <v>7</v>
      </c>
      <c r="K56" t="s">
        <v>17</v>
      </c>
      <c r="L56">
        <v>5</v>
      </c>
      <c r="M56" t="str">
        <f>IF(Table1[[#This Row],[Age]]&lt;=18,"Teen",IF(Table1[[#This Row],[Age]]&lt;=21,"Young Adult","Adult"))</f>
        <v>Young Adult</v>
      </c>
      <c r="N56" t="str">
        <f t="shared" si="0"/>
        <v>Moderate</v>
      </c>
      <c r="O56" t="str">
        <f t="shared" si="1"/>
        <v>Medium</v>
      </c>
      <c r="P56" t="str">
        <f t="shared" si="2"/>
        <v>Average</v>
      </c>
      <c r="Q56">
        <f t="shared" si="3"/>
        <v>0</v>
      </c>
      <c r="R56" t="str">
        <f t="shared" si="4"/>
        <v>Good</v>
      </c>
      <c r="S56">
        <f>COUNTIF('Students Social Media Addiction'!O:O,"High")/COUNTA(Table1[Student_ID])</f>
        <v>0.5787234042553191</v>
      </c>
      <c r="T56">
        <f>AVERAGE(Table1[Academic Impact Flag])</f>
        <v>0.64255319148936174</v>
      </c>
      <c r="U56">
        <f>AVERAGE(Table1[Sleep_Hours_Per_Night])</f>
        <v>6.868936170212768</v>
      </c>
      <c r="V56">
        <f>AVERAGE(Table1[Mental_Health_Score])</f>
        <v>6.2269503546099294</v>
      </c>
    </row>
    <row r="57" spans="1:22" x14ac:dyDescent="0.3">
      <c r="A57">
        <v>56</v>
      </c>
      <c r="B57">
        <v>20</v>
      </c>
      <c r="C57" t="s">
        <v>12</v>
      </c>
      <c r="D57" t="s">
        <v>13</v>
      </c>
      <c r="E57" t="s">
        <v>84</v>
      </c>
      <c r="F57">
        <v>4.9000000000000004</v>
      </c>
      <c r="G57" t="s">
        <v>36</v>
      </c>
      <c r="H57" t="s">
        <v>16</v>
      </c>
      <c r="I57">
        <v>5.6</v>
      </c>
      <c r="J57">
        <v>6</v>
      </c>
      <c r="K57" t="s">
        <v>26</v>
      </c>
      <c r="L57">
        <v>7</v>
      </c>
      <c r="M57" t="str">
        <f>IF(Table1[[#This Row],[Age]]&lt;=18,"Teen",IF(Table1[[#This Row],[Age]]&lt;=21,"Young Adult","Adult"))</f>
        <v>Young Adult</v>
      </c>
      <c r="N57" t="str">
        <f t="shared" si="0"/>
        <v>High</v>
      </c>
      <c r="O57" t="str">
        <f t="shared" si="1"/>
        <v>High</v>
      </c>
      <c r="P57" t="str">
        <f t="shared" si="2"/>
        <v>Poor</v>
      </c>
      <c r="Q57">
        <f t="shared" si="3"/>
        <v>1</v>
      </c>
      <c r="R57" t="str">
        <f t="shared" si="4"/>
        <v>Average</v>
      </c>
      <c r="S57">
        <f>COUNTIF('Students Social Media Addiction'!O:O,"High")/COUNTA(Table1[Student_ID])</f>
        <v>0.5787234042553191</v>
      </c>
      <c r="T57">
        <f>AVERAGE(Table1[Academic Impact Flag])</f>
        <v>0.64255319148936174</v>
      </c>
      <c r="U57">
        <f>AVERAGE(Table1[Sleep_Hours_Per_Night])</f>
        <v>6.868936170212768</v>
      </c>
      <c r="V57">
        <f>AVERAGE(Table1[Mental_Health_Score])</f>
        <v>6.2269503546099294</v>
      </c>
    </row>
    <row r="58" spans="1:22" x14ac:dyDescent="0.3">
      <c r="A58">
        <v>57</v>
      </c>
      <c r="B58">
        <v>18</v>
      </c>
      <c r="C58" t="s">
        <v>18</v>
      </c>
      <c r="D58" t="s">
        <v>27</v>
      </c>
      <c r="E58" t="s">
        <v>85</v>
      </c>
      <c r="F58">
        <v>5.6</v>
      </c>
      <c r="G58" t="s">
        <v>25</v>
      </c>
      <c r="H58" t="s">
        <v>16</v>
      </c>
      <c r="I58">
        <v>5.2</v>
      </c>
      <c r="J58">
        <v>5</v>
      </c>
      <c r="K58" t="s">
        <v>23</v>
      </c>
      <c r="L58">
        <v>8</v>
      </c>
      <c r="M58" t="str">
        <f>IF(Table1[[#This Row],[Age]]&lt;=18,"Teen",IF(Table1[[#This Row],[Age]]&lt;=21,"Young Adult","Adult"))</f>
        <v>Teen</v>
      </c>
      <c r="N58" t="str">
        <f t="shared" si="0"/>
        <v>High</v>
      </c>
      <c r="O58" t="str">
        <f t="shared" si="1"/>
        <v>High</v>
      </c>
      <c r="P58" t="str">
        <f t="shared" si="2"/>
        <v>Poor</v>
      </c>
      <c r="Q58">
        <f t="shared" si="3"/>
        <v>1</v>
      </c>
      <c r="R58" t="str">
        <f t="shared" si="4"/>
        <v>Average</v>
      </c>
      <c r="S58">
        <f>COUNTIF('Students Social Media Addiction'!O:O,"High")/COUNTA(Table1[Student_ID])</f>
        <v>0.5787234042553191</v>
      </c>
      <c r="T58">
        <f>AVERAGE(Table1[Academic Impact Flag])</f>
        <v>0.64255319148936174</v>
      </c>
      <c r="U58">
        <f>AVERAGE(Table1[Sleep_Hours_Per_Night])</f>
        <v>6.868936170212768</v>
      </c>
      <c r="V58">
        <f>AVERAGE(Table1[Mental_Health_Score])</f>
        <v>6.2269503546099294</v>
      </c>
    </row>
    <row r="59" spans="1:22" x14ac:dyDescent="0.3">
      <c r="A59">
        <v>58</v>
      </c>
      <c r="B59">
        <v>23</v>
      </c>
      <c r="C59" t="s">
        <v>12</v>
      </c>
      <c r="D59" t="s">
        <v>19</v>
      </c>
      <c r="E59" t="s">
        <v>86</v>
      </c>
      <c r="F59">
        <v>2.8</v>
      </c>
      <c r="G59" t="s">
        <v>34</v>
      </c>
      <c r="H59" t="s">
        <v>22</v>
      </c>
      <c r="I59">
        <v>7</v>
      </c>
      <c r="J59">
        <v>8</v>
      </c>
      <c r="K59" t="s">
        <v>17</v>
      </c>
      <c r="L59">
        <v>4</v>
      </c>
      <c r="M59" t="str">
        <f>IF(Table1[[#This Row],[Age]]&lt;=18,"Teen",IF(Table1[[#This Row],[Age]]&lt;=21,"Young Adult","Adult"))</f>
        <v>Adult</v>
      </c>
      <c r="N59" t="str">
        <f t="shared" si="0"/>
        <v>Moderate</v>
      </c>
      <c r="O59" t="str">
        <f t="shared" si="1"/>
        <v>Medium</v>
      </c>
      <c r="P59" t="str">
        <f t="shared" si="2"/>
        <v>Average</v>
      </c>
      <c r="Q59">
        <f t="shared" si="3"/>
        <v>0</v>
      </c>
      <c r="R59" t="str">
        <f t="shared" si="4"/>
        <v>Good</v>
      </c>
      <c r="S59">
        <f>COUNTIF('Students Social Media Addiction'!O:O,"High")/COUNTA(Table1[Student_ID])</f>
        <v>0.5787234042553191</v>
      </c>
      <c r="T59">
        <f>AVERAGE(Table1[Academic Impact Flag])</f>
        <v>0.64255319148936174</v>
      </c>
      <c r="U59">
        <f>AVERAGE(Table1[Sleep_Hours_Per_Night])</f>
        <v>6.868936170212768</v>
      </c>
      <c r="V59">
        <f>AVERAGE(Table1[Mental_Health_Score])</f>
        <v>6.2269503546099294</v>
      </c>
    </row>
    <row r="60" spans="1:22" x14ac:dyDescent="0.3">
      <c r="A60">
        <v>59</v>
      </c>
      <c r="B60">
        <v>19</v>
      </c>
      <c r="C60" t="s">
        <v>18</v>
      </c>
      <c r="D60" t="s">
        <v>13</v>
      </c>
      <c r="E60" t="s">
        <v>87</v>
      </c>
      <c r="F60">
        <v>4.5999999999999996</v>
      </c>
      <c r="G60" t="s">
        <v>15</v>
      </c>
      <c r="H60" t="s">
        <v>16</v>
      </c>
      <c r="I60">
        <v>5.9</v>
      </c>
      <c r="J60">
        <v>6</v>
      </c>
      <c r="K60" t="s">
        <v>26</v>
      </c>
      <c r="L60">
        <v>7</v>
      </c>
      <c r="M60" t="str">
        <f>IF(Table1[[#This Row],[Age]]&lt;=18,"Teen",IF(Table1[[#This Row],[Age]]&lt;=21,"Young Adult","Adult"))</f>
        <v>Young Adult</v>
      </c>
      <c r="N60" t="str">
        <f t="shared" si="0"/>
        <v>High</v>
      </c>
      <c r="O60" t="str">
        <f t="shared" si="1"/>
        <v>High</v>
      </c>
      <c r="P60" t="str">
        <f t="shared" si="2"/>
        <v>Poor</v>
      </c>
      <c r="Q60">
        <f t="shared" si="3"/>
        <v>1</v>
      </c>
      <c r="R60" t="str">
        <f t="shared" si="4"/>
        <v>Average</v>
      </c>
      <c r="S60">
        <f>COUNTIF('Students Social Media Addiction'!O:O,"High")/COUNTA(Table1[Student_ID])</f>
        <v>0.5787234042553191</v>
      </c>
      <c r="T60">
        <f>AVERAGE(Table1[Academic Impact Flag])</f>
        <v>0.64255319148936174</v>
      </c>
      <c r="U60">
        <f>AVERAGE(Table1[Sleep_Hours_Per_Night])</f>
        <v>6.868936170212768</v>
      </c>
      <c r="V60">
        <f>AVERAGE(Table1[Mental_Health_Score])</f>
        <v>6.2269503546099294</v>
      </c>
    </row>
    <row r="61" spans="1:22" x14ac:dyDescent="0.3">
      <c r="A61">
        <v>60</v>
      </c>
      <c r="B61">
        <v>20</v>
      </c>
      <c r="C61" t="s">
        <v>12</v>
      </c>
      <c r="D61" t="s">
        <v>13</v>
      </c>
      <c r="E61" t="s">
        <v>88</v>
      </c>
      <c r="F61">
        <v>5.4</v>
      </c>
      <c r="G61" t="s">
        <v>25</v>
      </c>
      <c r="H61" t="s">
        <v>16</v>
      </c>
      <c r="I61">
        <v>5.7</v>
      </c>
      <c r="J61">
        <v>5</v>
      </c>
      <c r="K61" t="s">
        <v>23</v>
      </c>
      <c r="L61">
        <v>8</v>
      </c>
      <c r="M61" t="str">
        <f>IF(Table1[[#This Row],[Age]]&lt;=18,"Teen",IF(Table1[[#This Row],[Age]]&lt;=21,"Young Adult","Adult"))</f>
        <v>Young Adult</v>
      </c>
      <c r="N61" t="str">
        <f t="shared" si="0"/>
        <v>High</v>
      </c>
      <c r="O61" t="str">
        <f t="shared" si="1"/>
        <v>High</v>
      </c>
      <c r="P61" t="str">
        <f t="shared" si="2"/>
        <v>Poor</v>
      </c>
      <c r="Q61">
        <f t="shared" si="3"/>
        <v>1</v>
      </c>
      <c r="R61" t="str">
        <f t="shared" si="4"/>
        <v>Average</v>
      </c>
      <c r="S61">
        <f>COUNTIF('Students Social Media Addiction'!O:O,"High")/COUNTA(Table1[Student_ID])</f>
        <v>0.5787234042553191</v>
      </c>
      <c r="T61">
        <f>AVERAGE(Table1[Academic Impact Flag])</f>
        <v>0.64255319148936174</v>
      </c>
      <c r="U61">
        <f>AVERAGE(Table1[Sleep_Hours_Per_Night])</f>
        <v>6.868936170212768</v>
      </c>
      <c r="V61">
        <f>AVERAGE(Table1[Mental_Health_Score])</f>
        <v>6.2269503546099294</v>
      </c>
    </row>
    <row r="62" spans="1:22" x14ac:dyDescent="0.3">
      <c r="A62">
        <v>61</v>
      </c>
      <c r="B62">
        <v>22</v>
      </c>
      <c r="C62" t="s">
        <v>18</v>
      </c>
      <c r="D62" t="s">
        <v>19</v>
      </c>
      <c r="E62" t="s">
        <v>89</v>
      </c>
      <c r="F62">
        <v>3.1</v>
      </c>
      <c r="G62" t="s">
        <v>31</v>
      </c>
      <c r="H62" t="s">
        <v>22</v>
      </c>
      <c r="I62">
        <v>7.1</v>
      </c>
      <c r="J62">
        <v>7</v>
      </c>
      <c r="K62" t="s">
        <v>23</v>
      </c>
      <c r="L62">
        <v>5</v>
      </c>
      <c r="M62" t="str">
        <f>IF(Table1[[#This Row],[Age]]&lt;=18,"Teen",IF(Table1[[#This Row],[Age]]&lt;=21,"Young Adult","Adult"))</f>
        <v>Adult</v>
      </c>
      <c r="N62" t="str">
        <f t="shared" si="0"/>
        <v>Moderate</v>
      </c>
      <c r="O62" t="str">
        <f t="shared" si="1"/>
        <v>Medium</v>
      </c>
      <c r="P62" t="str">
        <f t="shared" si="2"/>
        <v>Healthy</v>
      </c>
      <c r="Q62">
        <f t="shared" si="3"/>
        <v>0</v>
      </c>
      <c r="R62" t="str">
        <f t="shared" si="4"/>
        <v>Good</v>
      </c>
      <c r="S62">
        <f>COUNTIF('Students Social Media Addiction'!O:O,"High")/COUNTA(Table1[Student_ID])</f>
        <v>0.5787234042553191</v>
      </c>
      <c r="T62">
        <f>AVERAGE(Table1[Academic Impact Flag])</f>
        <v>0.64255319148936174</v>
      </c>
      <c r="U62">
        <f>AVERAGE(Table1[Sleep_Hours_Per_Night])</f>
        <v>6.868936170212768</v>
      </c>
      <c r="V62">
        <f>AVERAGE(Table1[Mental_Health_Score])</f>
        <v>6.2269503546099294</v>
      </c>
    </row>
    <row r="63" spans="1:22" x14ac:dyDescent="0.3">
      <c r="A63">
        <v>62</v>
      </c>
      <c r="B63">
        <v>19</v>
      </c>
      <c r="C63" t="s">
        <v>12</v>
      </c>
      <c r="D63" t="s">
        <v>13</v>
      </c>
      <c r="E63" t="s">
        <v>90</v>
      </c>
      <c r="F63">
        <v>5.6</v>
      </c>
      <c r="G63" t="s">
        <v>15</v>
      </c>
      <c r="H63" t="s">
        <v>16</v>
      </c>
      <c r="I63">
        <v>5.6</v>
      </c>
      <c r="J63">
        <v>5</v>
      </c>
      <c r="K63" t="s">
        <v>17</v>
      </c>
      <c r="L63">
        <v>8</v>
      </c>
      <c r="M63" t="str">
        <f>IF(Table1[[#This Row],[Age]]&lt;=18,"Teen",IF(Table1[[#This Row],[Age]]&lt;=21,"Young Adult","Adult"))</f>
        <v>Young Adult</v>
      </c>
      <c r="N63" t="str">
        <f t="shared" si="0"/>
        <v>High</v>
      </c>
      <c r="O63" t="str">
        <f t="shared" si="1"/>
        <v>High</v>
      </c>
      <c r="P63" t="str">
        <f t="shared" si="2"/>
        <v>Poor</v>
      </c>
      <c r="Q63">
        <f t="shared" si="3"/>
        <v>1</v>
      </c>
      <c r="R63" t="str">
        <f t="shared" si="4"/>
        <v>Average</v>
      </c>
      <c r="S63">
        <f>COUNTIF('Students Social Media Addiction'!O:O,"High")/COUNTA(Table1[Student_ID])</f>
        <v>0.5787234042553191</v>
      </c>
      <c r="T63">
        <f>AVERAGE(Table1[Academic Impact Flag])</f>
        <v>0.64255319148936174</v>
      </c>
      <c r="U63">
        <f>AVERAGE(Table1[Sleep_Hours_Per_Night])</f>
        <v>6.868936170212768</v>
      </c>
      <c r="V63">
        <f>AVERAGE(Table1[Mental_Health_Score])</f>
        <v>6.2269503546099294</v>
      </c>
    </row>
    <row r="64" spans="1:22" x14ac:dyDescent="0.3">
      <c r="A64">
        <v>63</v>
      </c>
      <c r="B64">
        <v>20</v>
      </c>
      <c r="C64" t="s">
        <v>18</v>
      </c>
      <c r="D64" t="s">
        <v>13</v>
      </c>
      <c r="E64" t="s">
        <v>91</v>
      </c>
      <c r="F64">
        <v>4.2</v>
      </c>
      <c r="G64" t="s">
        <v>25</v>
      </c>
      <c r="H64" t="s">
        <v>16</v>
      </c>
      <c r="I64">
        <v>6</v>
      </c>
      <c r="J64">
        <v>6</v>
      </c>
      <c r="K64" t="s">
        <v>26</v>
      </c>
      <c r="L64">
        <v>7</v>
      </c>
      <c r="M64" t="str">
        <f>IF(Table1[[#This Row],[Age]]&lt;=18,"Teen",IF(Table1[[#This Row],[Age]]&lt;=21,"Young Adult","Adult"))</f>
        <v>Young Adult</v>
      </c>
      <c r="N64" t="str">
        <f t="shared" si="0"/>
        <v>High</v>
      </c>
      <c r="O64" t="str">
        <f t="shared" si="1"/>
        <v>High</v>
      </c>
      <c r="P64" t="str">
        <f t="shared" si="2"/>
        <v>Average</v>
      </c>
      <c r="Q64">
        <f t="shared" si="3"/>
        <v>1</v>
      </c>
      <c r="R64" t="str">
        <f t="shared" si="4"/>
        <v>Average</v>
      </c>
      <c r="S64">
        <f>COUNTIF('Students Social Media Addiction'!O:O,"High")/COUNTA(Table1[Student_ID])</f>
        <v>0.5787234042553191</v>
      </c>
      <c r="T64">
        <f>AVERAGE(Table1[Academic Impact Flag])</f>
        <v>0.64255319148936174</v>
      </c>
      <c r="U64">
        <f>AVERAGE(Table1[Sleep_Hours_Per_Night])</f>
        <v>6.868936170212768</v>
      </c>
      <c r="V64">
        <f>AVERAGE(Table1[Mental_Health_Score])</f>
        <v>6.2269503546099294</v>
      </c>
    </row>
    <row r="65" spans="1:22" x14ac:dyDescent="0.3">
      <c r="A65">
        <v>64</v>
      </c>
      <c r="B65">
        <v>18</v>
      </c>
      <c r="C65" t="s">
        <v>12</v>
      </c>
      <c r="D65" t="s">
        <v>27</v>
      </c>
      <c r="E65" t="s">
        <v>92</v>
      </c>
      <c r="F65">
        <v>6.1</v>
      </c>
      <c r="G65" t="s">
        <v>36</v>
      </c>
      <c r="H65" t="s">
        <v>16</v>
      </c>
      <c r="I65">
        <v>5.2</v>
      </c>
      <c r="J65">
        <v>4</v>
      </c>
      <c r="K65" t="s">
        <v>23</v>
      </c>
      <c r="L65">
        <v>9</v>
      </c>
      <c r="M65" t="str">
        <f>IF(Table1[[#This Row],[Age]]&lt;=18,"Teen",IF(Table1[[#This Row],[Age]]&lt;=21,"Young Adult","Adult"))</f>
        <v>Teen</v>
      </c>
      <c r="N65" t="str">
        <f t="shared" si="0"/>
        <v>Very High</v>
      </c>
      <c r="O65" t="str">
        <f t="shared" si="1"/>
        <v>High</v>
      </c>
      <c r="P65" t="str">
        <f t="shared" si="2"/>
        <v>Poor</v>
      </c>
      <c r="Q65">
        <f t="shared" si="3"/>
        <v>1</v>
      </c>
      <c r="R65" t="str">
        <f t="shared" si="4"/>
        <v>Poor</v>
      </c>
      <c r="S65">
        <f>COUNTIF('Students Social Media Addiction'!O:O,"High")/COUNTA(Table1[Student_ID])</f>
        <v>0.5787234042553191</v>
      </c>
      <c r="T65">
        <f>AVERAGE(Table1[Academic Impact Flag])</f>
        <v>0.64255319148936174</v>
      </c>
      <c r="U65">
        <f>AVERAGE(Table1[Sleep_Hours_Per_Night])</f>
        <v>6.868936170212768</v>
      </c>
      <c r="V65">
        <f>AVERAGE(Table1[Mental_Health_Score])</f>
        <v>6.2269503546099294</v>
      </c>
    </row>
    <row r="66" spans="1:22" x14ac:dyDescent="0.3">
      <c r="A66">
        <v>65</v>
      </c>
      <c r="B66">
        <v>23</v>
      </c>
      <c r="C66" t="s">
        <v>18</v>
      </c>
      <c r="D66" t="s">
        <v>19</v>
      </c>
      <c r="E66" t="s">
        <v>93</v>
      </c>
      <c r="F66">
        <v>2.2999999999999998</v>
      </c>
      <c r="G66" t="s">
        <v>34</v>
      </c>
      <c r="H66" t="s">
        <v>22</v>
      </c>
      <c r="I66">
        <v>7.4</v>
      </c>
      <c r="J66">
        <v>8</v>
      </c>
      <c r="K66" t="s">
        <v>17</v>
      </c>
      <c r="L66">
        <v>3</v>
      </c>
      <c r="M66" t="str">
        <f>IF(Table1[[#This Row],[Age]]&lt;=18,"Teen",IF(Table1[[#This Row],[Age]]&lt;=21,"Young Adult","Adult"))</f>
        <v>Adult</v>
      </c>
      <c r="N66" t="str">
        <f t="shared" ref="N66:N129" si="5">IF(F66&lt;2,"Low",
IF(F66&lt;4,"Moderate",
IF(F66&lt;6,"High","Very High")))</f>
        <v>Moderate</v>
      </c>
      <c r="O66" t="str">
        <f t="shared" ref="O66:O129" si="6">IF(L66&lt;=3,"Low",
IF(L66&lt;=6,"Medium","High"))</f>
        <v>Low</v>
      </c>
      <c r="P66" t="str">
        <f t="shared" ref="P66:P129" si="7">IF(I66&lt;6,"Poor",
IF(I66&lt;=7,"Average","Healthy"))</f>
        <v>Healthy</v>
      </c>
      <c r="Q66">
        <f t="shared" ref="Q66:Q129" si="8">IF(H66="Yes",1,0)</f>
        <v>0</v>
      </c>
      <c r="R66" t="str">
        <f t="shared" ref="R66:R129" si="9">IF(J66&lt;=4,"Poor",
IF(J66&lt;=6,"Average","Good"))</f>
        <v>Good</v>
      </c>
      <c r="S66">
        <f>COUNTIF('Students Social Media Addiction'!O:O,"High")/COUNTA(Table1[Student_ID])</f>
        <v>0.5787234042553191</v>
      </c>
      <c r="T66">
        <f>AVERAGE(Table1[Academic Impact Flag])</f>
        <v>0.64255319148936174</v>
      </c>
      <c r="U66">
        <f>AVERAGE(Table1[Sleep_Hours_Per_Night])</f>
        <v>6.868936170212768</v>
      </c>
      <c r="V66">
        <f>AVERAGE(Table1[Mental_Health_Score])</f>
        <v>6.2269503546099294</v>
      </c>
    </row>
    <row r="67" spans="1:22" x14ac:dyDescent="0.3">
      <c r="A67">
        <v>66</v>
      </c>
      <c r="B67">
        <v>21</v>
      </c>
      <c r="C67" t="s">
        <v>12</v>
      </c>
      <c r="D67" t="s">
        <v>13</v>
      </c>
      <c r="E67" t="s">
        <v>94</v>
      </c>
      <c r="F67">
        <v>4.8</v>
      </c>
      <c r="G67" t="s">
        <v>15</v>
      </c>
      <c r="H67" t="s">
        <v>16</v>
      </c>
      <c r="I67">
        <v>5.8</v>
      </c>
      <c r="J67">
        <v>6</v>
      </c>
      <c r="K67" t="s">
        <v>23</v>
      </c>
      <c r="L67">
        <v>7</v>
      </c>
      <c r="M67" t="str">
        <f>IF(Table1[[#This Row],[Age]]&lt;=18,"Teen",IF(Table1[[#This Row],[Age]]&lt;=21,"Young Adult","Adult"))</f>
        <v>Young Adult</v>
      </c>
      <c r="N67" t="str">
        <f t="shared" si="5"/>
        <v>High</v>
      </c>
      <c r="O67" t="str">
        <f t="shared" si="6"/>
        <v>High</v>
      </c>
      <c r="P67" t="str">
        <f t="shared" si="7"/>
        <v>Poor</v>
      </c>
      <c r="Q67">
        <f t="shared" si="8"/>
        <v>1</v>
      </c>
      <c r="R67" t="str">
        <f t="shared" si="9"/>
        <v>Average</v>
      </c>
      <c r="S67">
        <f>COUNTIF('Students Social Media Addiction'!O:O,"High")/COUNTA(Table1[Student_ID])</f>
        <v>0.5787234042553191</v>
      </c>
      <c r="T67">
        <f>AVERAGE(Table1[Academic Impact Flag])</f>
        <v>0.64255319148936174</v>
      </c>
      <c r="U67">
        <f>AVERAGE(Table1[Sleep_Hours_Per_Night])</f>
        <v>6.868936170212768</v>
      </c>
      <c r="V67">
        <f>AVERAGE(Table1[Mental_Health_Score])</f>
        <v>6.2269503546099294</v>
      </c>
    </row>
    <row r="68" spans="1:22" x14ac:dyDescent="0.3">
      <c r="A68">
        <v>67</v>
      </c>
      <c r="B68">
        <v>20</v>
      </c>
      <c r="C68" t="s">
        <v>18</v>
      </c>
      <c r="D68" t="s">
        <v>13</v>
      </c>
      <c r="E68" t="s">
        <v>95</v>
      </c>
      <c r="F68">
        <v>3.9</v>
      </c>
      <c r="G68" t="s">
        <v>29</v>
      </c>
      <c r="H68" t="s">
        <v>22</v>
      </c>
      <c r="I68">
        <v>6.5</v>
      </c>
      <c r="J68">
        <v>7</v>
      </c>
      <c r="K68" t="s">
        <v>26</v>
      </c>
      <c r="L68">
        <v>6</v>
      </c>
      <c r="M68" t="str">
        <f>IF(Table1[[#This Row],[Age]]&lt;=18,"Teen",IF(Table1[[#This Row],[Age]]&lt;=21,"Young Adult","Adult"))</f>
        <v>Young Adult</v>
      </c>
      <c r="N68" t="str">
        <f t="shared" si="5"/>
        <v>Moderate</v>
      </c>
      <c r="O68" t="str">
        <f t="shared" si="6"/>
        <v>Medium</v>
      </c>
      <c r="P68" t="str">
        <f t="shared" si="7"/>
        <v>Average</v>
      </c>
      <c r="Q68">
        <f t="shared" si="8"/>
        <v>0</v>
      </c>
      <c r="R68" t="str">
        <f t="shared" si="9"/>
        <v>Good</v>
      </c>
      <c r="S68">
        <f>COUNTIF('Students Social Media Addiction'!O:O,"High")/COUNTA(Table1[Student_ID])</f>
        <v>0.5787234042553191</v>
      </c>
      <c r="T68">
        <f>AVERAGE(Table1[Academic Impact Flag])</f>
        <v>0.64255319148936174</v>
      </c>
      <c r="U68">
        <f>AVERAGE(Table1[Sleep_Hours_Per_Night])</f>
        <v>6.868936170212768</v>
      </c>
      <c r="V68">
        <f>AVERAGE(Table1[Mental_Health_Score])</f>
        <v>6.2269503546099294</v>
      </c>
    </row>
    <row r="69" spans="1:22" x14ac:dyDescent="0.3">
      <c r="A69">
        <v>68</v>
      </c>
      <c r="B69">
        <v>19</v>
      </c>
      <c r="C69" t="s">
        <v>12</v>
      </c>
      <c r="D69" t="s">
        <v>27</v>
      </c>
      <c r="E69" t="s">
        <v>96</v>
      </c>
      <c r="F69">
        <v>5.7</v>
      </c>
      <c r="G69" t="s">
        <v>25</v>
      </c>
      <c r="H69" t="s">
        <v>16</v>
      </c>
      <c r="I69">
        <v>5.4</v>
      </c>
      <c r="J69">
        <v>5</v>
      </c>
      <c r="K69" t="s">
        <v>17</v>
      </c>
      <c r="L69">
        <v>8</v>
      </c>
      <c r="M69" t="str">
        <f>IF(Table1[[#This Row],[Age]]&lt;=18,"Teen",IF(Table1[[#This Row],[Age]]&lt;=21,"Young Adult","Adult"))</f>
        <v>Young Adult</v>
      </c>
      <c r="N69" t="str">
        <f t="shared" si="5"/>
        <v>High</v>
      </c>
      <c r="O69" t="str">
        <f t="shared" si="6"/>
        <v>High</v>
      </c>
      <c r="P69" t="str">
        <f t="shared" si="7"/>
        <v>Poor</v>
      </c>
      <c r="Q69">
        <f t="shared" si="8"/>
        <v>1</v>
      </c>
      <c r="R69" t="str">
        <f t="shared" si="9"/>
        <v>Average</v>
      </c>
      <c r="S69">
        <f>COUNTIF('Students Social Media Addiction'!O:O,"High")/COUNTA(Table1[Student_ID])</f>
        <v>0.5787234042553191</v>
      </c>
      <c r="T69">
        <f>AVERAGE(Table1[Academic Impact Flag])</f>
        <v>0.64255319148936174</v>
      </c>
      <c r="U69">
        <f>AVERAGE(Table1[Sleep_Hours_Per_Night])</f>
        <v>6.868936170212768</v>
      </c>
      <c r="V69">
        <f>AVERAGE(Table1[Mental_Health_Score])</f>
        <v>6.2269503546099294</v>
      </c>
    </row>
    <row r="70" spans="1:22" x14ac:dyDescent="0.3">
      <c r="A70">
        <v>69</v>
      </c>
      <c r="B70">
        <v>22</v>
      </c>
      <c r="C70" t="s">
        <v>18</v>
      </c>
      <c r="D70" t="s">
        <v>19</v>
      </c>
      <c r="E70" t="s">
        <v>97</v>
      </c>
      <c r="F70">
        <v>2.8</v>
      </c>
      <c r="G70" t="s">
        <v>34</v>
      </c>
      <c r="H70" t="s">
        <v>22</v>
      </c>
      <c r="I70">
        <v>7.2</v>
      </c>
      <c r="J70">
        <v>8</v>
      </c>
      <c r="K70" t="s">
        <v>23</v>
      </c>
      <c r="L70">
        <v>4</v>
      </c>
      <c r="M70" t="str">
        <f>IF(Table1[[#This Row],[Age]]&lt;=18,"Teen",IF(Table1[[#This Row],[Age]]&lt;=21,"Young Adult","Adult"))</f>
        <v>Adult</v>
      </c>
      <c r="N70" t="str">
        <f t="shared" si="5"/>
        <v>Moderate</v>
      </c>
      <c r="O70" t="str">
        <f t="shared" si="6"/>
        <v>Medium</v>
      </c>
      <c r="P70" t="str">
        <f t="shared" si="7"/>
        <v>Healthy</v>
      </c>
      <c r="Q70">
        <f t="shared" si="8"/>
        <v>0</v>
      </c>
      <c r="R70" t="str">
        <f t="shared" si="9"/>
        <v>Good</v>
      </c>
      <c r="S70">
        <f>COUNTIF('Students Social Media Addiction'!O:O,"High")/COUNTA(Table1[Student_ID])</f>
        <v>0.5787234042553191</v>
      </c>
      <c r="T70">
        <f>AVERAGE(Table1[Academic Impact Flag])</f>
        <v>0.64255319148936174</v>
      </c>
      <c r="U70">
        <f>AVERAGE(Table1[Sleep_Hours_Per_Night])</f>
        <v>6.868936170212768</v>
      </c>
      <c r="V70">
        <f>AVERAGE(Table1[Mental_Health_Score])</f>
        <v>6.2269503546099294</v>
      </c>
    </row>
    <row r="71" spans="1:22" x14ac:dyDescent="0.3">
      <c r="A71">
        <v>70</v>
      </c>
      <c r="B71">
        <v>20</v>
      </c>
      <c r="C71" t="s">
        <v>12</v>
      </c>
      <c r="D71" t="s">
        <v>13</v>
      </c>
      <c r="E71" t="s">
        <v>98</v>
      </c>
      <c r="F71">
        <v>4.5</v>
      </c>
      <c r="G71" t="s">
        <v>15</v>
      </c>
      <c r="H71" t="s">
        <v>16</v>
      </c>
      <c r="I71">
        <v>5.9</v>
      </c>
      <c r="J71">
        <v>6</v>
      </c>
      <c r="K71" t="s">
        <v>26</v>
      </c>
      <c r="L71">
        <v>7</v>
      </c>
      <c r="M71" t="str">
        <f>IF(Table1[[#This Row],[Age]]&lt;=18,"Teen",IF(Table1[[#This Row],[Age]]&lt;=21,"Young Adult","Adult"))</f>
        <v>Young Adult</v>
      </c>
      <c r="N71" t="str">
        <f t="shared" si="5"/>
        <v>High</v>
      </c>
      <c r="O71" t="str">
        <f t="shared" si="6"/>
        <v>High</v>
      </c>
      <c r="P71" t="str">
        <f t="shared" si="7"/>
        <v>Poor</v>
      </c>
      <c r="Q71">
        <f t="shared" si="8"/>
        <v>1</v>
      </c>
      <c r="R71" t="str">
        <f t="shared" si="9"/>
        <v>Average</v>
      </c>
      <c r="S71">
        <f>COUNTIF('Students Social Media Addiction'!O:O,"High")/COUNTA(Table1[Student_ID])</f>
        <v>0.5787234042553191</v>
      </c>
      <c r="T71">
        <f>AVERAGE(Table1[Academic Impact Flag])</f>
        <v>0.64255319148936174</v>
      </c>
      <c r="U71">
        <f>AVERAGE(Table1[Sleep_Hours_Per_Night])</f>
        <v>6.868936170212768</v>
      </c>
      <c r="V71">
        <f>AVERAGE(Table1[Mental_Health_Score])</f>
        <v>6.2269503546099294</v>
      </c>
    </row>
    <row r="72" spans="1:22" x14ac:dyDescent="0.3">
      <c r="A72">
        <v>71</v>
      </c>
      <c r="B72">
        <v>18</v>
      </c>
      <c r="C72" t="s">
        <v>18</v>
      </c>
      <c r="D72" t="s">
        <v>27</v>
      </c>
      <c r="E72" t="s">
        <v>99</v>
      </c>
      <c r="F72">
        <v>5.4</v>
      </c>
      <c r="G72" t="s">
        <v>36</v>
      </c>
      <c r="H72" t="s">
        <v>16</v>
      </c>
      <c r="I72">
        <v>5.5</v>
      </c>
      <c r="J72">
        <v>5</v>
      </c>
      <c r="K72" t="s">
        <v>23</v>
      </c>
      <c r="L72">
        <v>8</v>
      </c>
      <c r="M72" t="str">
        <f>IF(Table1[[#This Row],[Age]]&lt;=18,"Teen",IF(Table1[[#This Row],[Age]]&lt;=21,"Young Adult","Adult"))</f>
        <v>Teen</v>
      </c>
      <c r="N72" t="str">
        <f t="shared" si="5"/>
        <v>High</v>
      </c>
      <c r="O72" t="str">
        <f t="shared" si="6"/>
        <v>High</v>
      </c>
      <c r="P72" t="str">
        <f t="shared" si="7"/>
        <v>Poor</v>
      </c>
      <c r="Q72">
        <f t="shared" si="8"/>
        <v>1</v>
      </c>
      <c r="R72" t="str">
        <f t="shared" si="9"/>
        <v>Average</v>
      </c>
      <c r="S72">
        <f>COUNTIF('Students Social Media Addiction'!O:O,"High")/COUNTA(Table1[Student_ID])</f>
        <v>0.5787234042553191</v>
      </c>
      <c r="T72">
        <f>AVERAGE(Table1[Academic Impact Flag])</f>
        <v>0.64255319148936174</v>
      </c>
      <c r="U72">
        <f>AVERAGE(Table1[Sleep_Hours_Per_Night])</f>
        <v>6.868936170212768</v>
      </c>
      <c r="V72">
        <f>AVERAGE(Table1[Mental_Health_Score])</f>
        <v>6.2269503546099294</v>
      </c>
    </row>
    <row r="73" spans="1:22" x14ac:dyDescent="0.3">
      <c r="A73">
        <v>72</v>
      </c>
      <c r="B73">
        <v>21</v>
      </c>
      <c r="C73" t="s">
        <v>12</v>
      </c>
      <c r="D73" t="s">
        <v>19</v>
      </c>
      <c r="E73" t="s">
        <v>100</v>
      </c>
      <c r="F73">
        <v>3.2</v>
      </c>
      <c r="G73" t="s">
        <v>31</v>
      </c>
      <c r="H73" t="s">
        <v>22</v>
      </c>
      <c r="I73">
        <v>6.8</v>
      </c>
      <c r="J73">
        <v>7</v>
      </c>
      <c r="K73" t="s">
        <v>17</v>
      </c>
      <c r="L73">
        <v>5</v>
      </c>
      <c r="M73" t="str">
        <f>IF(Table1[[#This Row],[Age]]&lt;=18,"Teen",IF(Table1[[#This Row],[Age]]&lt;=21,"Young Adult","Adult"))</f>
        <v>Young Adult</v>
      </c>
      <c r="N73" t="str">
        <f t="shared" si="5"/>
        <v>Moderate</v>
      </c>
      <c r="O73" t="str">
        <f t="shared" si="6"/>
        <v>Medium</v>
      </c>
      <c r="P73" t="str">
        <f t="shared" si="7"/>
        <v>Average</v>
      </c>
      <c r="Q73">
        <f t="shared" si="8"/>
        <v>0</v>
      </c>
      <c r="R73" t="str">
        <f t="shared" si="9"/>
        <v>Good</v>
      </c>
      <c r="S73">
        <f>COUNTIF('Students Social Media Addiction'!O:O,"High")/COUNTA(Table1[Student_ID])</f>
        <v>0.5787234042553191</v>
      </c>
      <c r="T73">
        <f>AVERAGE(Table1[Academic Impact Flag])</f>
        <v>0.64255319148936174</v>
      </c>
      <c r="U73">
        <f>AVERAGE(Table1[Sleep_Hours_Per_Night])</f>
        <v>6.868936170212768</v>
      </c>
      <c r="V73">
        <f>AVERAGE(Table1[Mental_Health_Score])</f>
        <v>6.2269503546099294</v>
      </c>
    </row>
    <row r="74" spans="1:22" x14ac:dyDescent="0.3">
      <c r="A74">
        <v>73</v>
      </c>
      <c r="B74">
        <v>19</v>
      </c>
      <c r="C74" t="s">
        <v>18</v>
      </c>
      <c r="D74" t="s">
        <v>13</v>
      </c>
      <c r="E74" t="s">
        <v>101</v>
      </c>
      <c r="F74">
        <v>4.9000000000000004</v>
      </c>
      <c r="G74" t="s">
        <v>25</v>
      </c>
      <c r="H74" t="s">
        <v>16</v>
      </c>
      <c r="I74">
        <v>5.7</v>
      </c>
      <c r="J74">
        <v>6</v>
      </c>
      <c r="K74" t="s">
        <v>26</v>
      </c>
      <c r="L74">
        <v>7</v>
      </c>
      <c r="M74" t="str">
        <f>IF(Table1[[#This Row],[Age]]&lt;=18,"Teen",IF(Table1[[#This Row],[Age]]&lt;=21,"Young Adult","Adult"))</f>
        <v>Young Adult</v>
      </c>
      <c r="N74" t="str">
        <f t="shared" si="5"/>
        <v>High</v>
      </c>
      <c r="O74" t="str">
        <f t="shared" si="6"/>
        <v>High</v>
      </c>
      <c r="P74" t="str">
        <f t="shared" si="7"/>
        <v>Poor</v>
      </c>
      <c r="Q74">
        <f t="shared" si="8"/>
        <v>1</v>
      </c>
      <c r="R74" t="str">
        <f t="shared" si="9"/>
        <v>Average</v>
      </c>
      <c r="S74">
        <f>COUNTIF('Students Social Media Addiction'!O:O,"High")/COUNTA(Table1[Student_ID])</f>
        <v>0.5787234042553191</v>
      </c>
      <c r="T74">
        <f>AVERAGE(Table1[Academic Impact Flag])</f>
        <v>0.64255319148936174</v>
      </c>
      <c r="U74">
        <f>AVERAGE(Table1[Sleep_Hours_Per_Night])</f>
        <v>6.868936170212768</v>
      </c>
      <c r="V74">
        <f>AVERAGE(Table1[Mental_Health_Score])</f>
        <v>6.2269503546099294</v>
      </c>
    </row>
    <row r="75" spans="1:22" x14ac:dyDescent="0.3">
      <c r="A75">
        <v>74</v>
      </c>
      <c r="B75">
        <v>20</v>
      </c>
      <c r="C75" t="s">
        <v>12</v>
      </c>
      <c r="D75" t="s">
        <v>13</v>
      </c>
      <c r="E75" t="s">
        <v>102</v>
      </c>
      <c r="F75">
        <v>5.8</v>
      </c>
      <c r="G75" t="s">
        <v>15</v>
      </c>
      <c r="H75" t="s">
        <v>16</v>
      </c>
      <c r="I75">
        <v>5.3</v>
      </c>
      <c r="J75">
        <v>5</v>
      </c>
      <c r="K75" t="s">
        <v>23</v>
      </c>
      <c r="L75">
        <v>8</v>
      </c>
      <c r="M75" t="str">
        <f>IF(Table1[[#This Row],[Age]]&lt;=18,"Teen",IF(Table1[[#This Row],[Age]]&lt;=21,"Young Adult","Adult"))</f>
        <v>Young Adult</v>
      </c>
      <c r="N75" t="str">
        <f t="shared" si="5"/>
        <v>High</v>
      </c>
      <c r="O75" t="str">
        <f t="shared" si="6"/>
        <v>High</v>
      </c>
      <c r="P75" t="str">
        <f t="shared" si="7"/>
        <v>Poor</v>
      </c>
      <c r="Q75">
        <f t="shared" si="8"/>
        <v>1</v>
      </c>
      <c r="R75" t="str">
        <f t="shared" si="9"/>
        <v>Average</v>
      </c>
      <c r="S75">
        <f>COUNTIF('Students Social Media Addiction'!O:O,"High")/COUNTA(Table1[Student_ID])</f>
        <v>0.5787234042553191</v>
      </c>
      <c r="T75">
        <f>AVERAGE(Table1[Academic Impact Flag])</f>
        <v>0.64255319148936174</v>
      </c>
      <c r="U75">
        <f>AVERAGE(Table1[Sleep_Hours_Per_Night])</f>
        <v>6.868936170212768</v>
      </c>
      <c r="V75">
        <f>AVERAGE(Table1[Mental_Health_Score])</f>
        <v>6.2269503546099294</v>
      </c>
    </row>
    <row r="76" spans="1:22" x14ac:dyDescent="0.3">
      <c r="A76">
        <v>75</v>
      </c>
      <c r="B76">
        <v>23</v>
      </c>
      <c r="C76" t="s">
        <v>18</v>
      </c>
      <c r="D76" t="s">
        <v>19</v>
      </c>
      <c r="E76" t="s">
        <v>103</v>
      </c>
      <c r="F76">
        <v>2.5</v>
      </c>
      <c r="G76" t="s">
        <v>34</v>
      </c>
      <c r="H76" t="s">
        <v>22</v>
      </c>
      <c r="I76">
        <v>7.3</v>
      </c>
      <c r="J76">
        <v>8</v>
      </c>
      <c r="K76" t="s">
        <v>17</v>
      </c>
      <c r="L76">
        <v>4</v>
      </c>
      <c r="M76" t="str">
        <f>IF(Table1[[#This Row],[Age]]&lt;=18,"Teen",IF(Table1[[#This Row],[Age]]&lt;=21,"Young Adult","Adult"))</f>
        <v>Adult</v>
      </c>
      <c r="N76" t="str">
        <f t="shared" si="5"/>
        <v>Moderate</v>
      </c>
      <c r="O76" t="str">
        <f t="shared" si="6"/>
        <v>Medium</v>
      </c>
      <c r="P76" t="str">
        <f t="shared" si="7"/>
        <v>Healthy</v>
      </c>
      <c r="Q76">
        <f t="shared" si="8"/>
        <v>0</v>
      </c>
      <c r="R76" t="str">
        <f t="shared" si="9"/>
        <v>Good</v>
      </c>
      <c r="S76">
        <f>COUNTIF('Students Social Media Addiction'!O:O,"High")/COUNTA(Table1[Student_ID])</f>
        <v>0.5787234042553191</v>
      </c>
      <c r="T76">
        <f>AVERAGE(Table1[Academic Impact Flag])</f>
        <v>0.64255319148936174</v>
      </c>
      <c r="U76">
        <f>AVERAGE(Table1[Sleep_Hours_Per_Night])</f>
        <v>6.868936170212768</v>
      </c>
      <c r="V76">
        <f>AVERAGE(Table1[Mental_Health_Score])</f>
        <v>6.2269503546099294</v>
      </c>
    </row>
    <row r="77" spans="1:22" x14ac:dyDescent="0.3">
      <c r="A77">
        <v>76</v>
      </c>
      <c r="B77">
        <v>21</v>
      </c>
      <c r="C77" t="s">
        <v>12</v>
      </c>
      <c r="D77" t="s">
        <v>13</v>
      </c>
      <c r="E77" t="s">
        <v>104</v>
      </c>
      <c r="F77">
        <v>4.5999999999999996</v>
      </c>
      <c r="G77" t="s">
        <v>36</v>
      </c>
      <c r="H77" t="s">
        <v>16</v>
      </c>
      <c r="I77">
        <v>5.8</v>
      </c>
      <c r="J77">
        <v>6</v>
      </c>
      <c r="K77" t="s">
        <v>23</v>
      </c>
      <c r="L77">
        <v>7</v>
      </c>
      <c r="M77" t="str">
        <f>IF(Table1[[#This Row],[Age]]&lt;=18,"Teen",IF(Table1[[#This Row],[Age]]&lt;=21,"Young Adult","Adult"))</f>
        <v>Young Adult</v>
      </c>
      <c r="N77" t="str">
        <f t="shared" si="5"/>
        <v>High</v>
      </c>
      <c r="O77" t="str">
        <f t="shared" si="6"/>
        <v>High</v>
      </c>
      <c r="P77" t="str">
        <f t="shared" si="7"/>
        <v>Poor</v>
      </c>
      <c r="Q77">
        <f t="shared" si="8"/>
        <v>1</v>
      </c>
      <c r="R77" t="str">
        <f t="shared" si="9"/>
        <v>Average</v>
      </c>
      <c r="S77">
        <f>COUNTIF('Students Social Media Addiction'!O:O,"High")/COUNTA(Table1[Student_ID])</f>
        <v>0.5787234042553191</v>
      </c>
      <c r="T77">
        <f>AVERAGE(Table1[Academic Impact Flag])</f>
        <v>0.64255319148936174</v>
      </c>
      <c r="U77">
        <f>AVERAGE(Table1[Sleep_Hours_Per_Night])</f>
        <v>6.868936170212768</v>
      </c>
      <c r="V77">
        <f>AVERAGE(Table1[Mental_Health_Score])</f>
        <v>6.2269503546099294</v>
      </c>
    </row>
    <row r="78" spans="1:22" x14ac:dyDescent="0.3">
      <c r="A78">
        <v>77</v>
      </c>
      <c r="B78">
        <v>19</v>
      </c>
      <c r="C78" t="s">
        <v>18</v>
      </c>
      <c r="D78" t="s">
        <v>27</v>
      </c>
      <c r="E78" t="s">
        <v>105</v>
      </c>
      <c r="F78">
        <v>5.5</v>
      </c>
      <c r="G78" t="s">
        <v>25</v>
      </c>
      <c r="H78" t="s">
        <v>16</v>
      </c>
      <c r="I78">
        <v>5.4</v>
      </c>
      <c r="J78">
        <v>5</v>
      </c>
      <c r="K78" t="s">
        <v>26</v>
      </c>
      <c r="L78">
        <v>8</v>
      </c>
      <c r="M78" t="str">
        <f>IF(Table1[[#This Row],[Age]]&lt;=18,"Teen",IF(Table1[[#This Row],[Age]]&lt;=21,"Young Adult","Adult"))</f>
        <v>Young Adult</v>
      </c>
      <c r="N78" t="str">
        <f t="shared" si="5"/>
        <v>High</v>
      </c>
      <c r="O78" t="str">
        <f t="shared" si="6"/>
        <v>High</v>
      </c>
      <c r="P78" t="str">
        <f t="shared" si="7"/>
        <v>Poor</v>
      </c>
      <c r="Q78">
        <f t="shared" si="8"/>
        <v>1</v>
      </c>
      <c r="R78" t="str">
        <f t="shared" si="9"/>
        <v>Average</v>
      </c>
      <c r="S78">
        <f>COUNTIF('Students Social Media Addiction'!O:O,"High")/COUNTA(Table1[Student_ID])</f>
        <v>0.5787234042553191</v>
      </c>
      <c r="T78">
        <f>AVERAGE(Table1[Academic Impact Flag])</f>
        <v>0.64255319148936174</v>
      </c>
      <c r="U78">
        <f>AVERAGE(Table1[Sleep_Hours_Per_Night])</f>
        <v>6.868936170212768</v>
      </c>
      <c r="V78">
        <f>AVERAGE(Table1[Mental_Health_Score])</f>
        <v>6.2269503546099294</v>
      </c>
    </row>
    <row r="79" spans="1:22" x14ac:dyDescent="0.3">
      <c r="A79">
        <v>78</v>
      </c>
      <c r="B79">
        <v>22</v>
      </c>
      <c r="C79" t="s">
        <v>12</v>
      </c>
      <c r="D79" t="s">
        <v>19</v>
      </c>
      <c r="E79" t="s">
        <v>106</v>
      </c>
      <c r="F79">
        <v>2.9</v>
      </c>
      <c r="G79" t="s">
        <v>31</v>
      </c>
      <c r="H79" t="s">
        <v>22</v>
      </c>
      <c r="I79">
        <v>7</v>
      </c>
      <c r="J79">
        <v>7</v>
      </c>
      <c r="K79" t="s">
        <v>17</v>
      </c>
      <c r="L79">
        <v>5</v>
      </c>
      <c r="M79" t="str">
        <f>IF(Table1[[#This Row],[Age]]&lt;=18,"Teen",IF(Table1[[#This Row],[Age]]&lt;=21,"Young Adult","Adult"))</f>
        <v>Adult</v>
      </c>
      <c r="N79" t="str">
        <f t="shared" si="5"/>
        <v>Moderate</v>
      </c>
      <c r="O79" t="str">
        <f t="shared" si="6"/>
        <v>Medium</v>
      </c>
      <c r="P79" t="str">
        <f t="shared" si="7"/>
        <v>Average</v>
      </c>
      <c r="Q79">
        <f t="shared" si="8"/>
        <v>0</v>
      </c>
      <c r="R79" t="str">
        <f t="shared" si="9"/>
        <v>Good</v>
      </c>
      <c r="S79">
        <f>COUNTIF('Students Social Media Addiction'!O:O,"High")/COUNTA(Table1[Student_ID])</f>
        <v>0.5787234042553191</v>
      </c>
      <c r="T79">
        <f>AVERAGE(Table1[Academic Impact Flag])</f>
        <v>0.64255319148936174</v>
      </c>
      <c r="U79">
        <f>AVERAGE(Table1[Sleep_Hours_Per_Night])</f>
        <v>6.868936170212768</v>
      </c>
      <c r="V79">
        <f>AVERAGE(Table1[Mental_Health_Score])</f>
        <v>6.2269503546099294</v>
      </c>
    </row>
    <row r="80" spans="1:22" x14ac:dyDescent="0.3">
      <c r="A80">
        <v>79</v>
      </c>
      <c r="B80">
        <v>20</v>
      </c>
      <c r="C80" t="s">
        <v>18</v>
      </c>
      <c r="D80" t="s">
        <v>13</v>
      </c>
      <c r="E80" t="s">
        <v>107</v>
      </c>
      <c r="F80">
        <v>4.7</v>
      </c>
      <c r="G80" t="s">
        <v>29</v>
      </c>
      <c r="H80" t="s">
        <v>16</v>
      </c>
      <c r="I80">
        <v>5.9</v>
      </c>
      <c r="J80">
        <v>6</v>
      </c>
      <c r="K80" t="s">
        <v>23</v>
      </c>
      <c r="L80">
        <v>7</v>
      </c>
      <c r="M80" t="str">
        <f>IF(Table1[[#This Row],[Age]]&lt;=18,"Teen",IF(Table1[[#This Row],[Age]]&lt;=21,"Young Adult","Adult"))</f>
        <v>Young Adult</v>
      </c>
      <c r="N80" t="str">
        <f t="shared" si="5"/>
        <v>High</v>
      </c>
      <c r="O80" t="str">
        <f t="shared" si="6"/>
        <v>High</v>
      </c>
      <c r="P80" t="str">
        <f t="shared" si="7"/>
        <v>Poor</v>
      </c>
      <c r="Q80">
        <f t="shared" si="8"/>
        <v>1</v>
      </c>
      <c r="R80" t="str">
        <f t="shared" si="9"/>
        <v>Average</v>
      </c>
      <c r="S80">
        <f>COUNTIF('Students Social Media Addiction'!O:O,"High")/COUNTA(Table1[Student_ID])</f>
        <v>0.5787234042553191</v>
      </c>
      <c r="T80">
        <f>AVERAGE(Table1[Academic Impact Flag])</f>
        <v>0.64255319148936174</v>
      </c>
      <c r="U80">
        <f>AVERAGE(Table1[Sleep_Hours_Per_Night])</f>
        <v>6.868936170212768</v>
      </c>
      <c r="V80">
        <f>AVERAGE(Table1[Mental_Health_Score])</f>
        <v>6.2269503546099294</v>
      </c>
    </row>
    <row r="81" spans="1:22" x14ac:dyDescent="0.3">
      <c r="A81">
        <v>80</v>
      </c>
      <c r="B81">
        <v>18</v>
      </c>
      <c r="C81" t="s">
        <v>12</v>
      </c>
      <c r="D81" t="s">
        <v>27</v>
      </c>
      <c r="E81" t="s">
        <v>108</v>
      </c>
      <c r="F81">
        <v>5.9</v>
      </c>
      <c r="G81" t="s">
        <v>15</v>
      </c>
      <c r="H81" t="s">
        <v>16</v>
      </c>
      <c r="I81">
        <v>5.2</v>
      </c>
      <c r="J81">
        <v>5</v>
      </c>
      <c r="K81" t="s">
        <v>26</v>
      </c>
      <c r="L81">
        <v>9</v>
      </c>
      <c r="M81" t="str">
        <f>IF(Table1[[#This Row],[Age]]&lt;=18,"Teen",IF(Table1[[#This Row],[Age]]&lt;=21,"Young Adult","Adult"))</f>
        <v>Teen</v>
      </c>
      <c r="N81" t="str">
        <f t="shared" si="5"/>
        <v>High</v>
      </c>
      <c r="O81" t="str">
        <f t="shared" si="6"/>
        <v>High</v>
      </c>
      <c r="P81" t="str">
        <f t="shared" si="7"/>
        <v>Poor</v>
      </c>
      <c r="Q81">
        <f t="shared" si="8"/>
        <v>1</v>
      </c>
      <c r="R81" t="str">
        <f t="shared" si="9"/>
        <v>Average</v>
      </c>
      <c r="S81">
        <f>COUNTIF('Students Social Media Addiction'!O:O,"High")/COUNTA(Table1[Student_ID])</f>
        <v>0.5787234042553191</v>
      </c>
      <c r="T81">
        <f>AVERAGE(Table1[Academic Impact Flag])</f>
        <v>0.64255319148936174</v>
      </c>
      <c r="U81">
        <f>AVERAGE(Table1[Sleep_Hours_Per_Night])</f>
        <v>6.868936170212768</v>
      </c>
      <c r="V81">
        <f>AVERAGE(Table1[Mental_Health_Score])</f>
        <v>6.2269503546099294</v>
      </c>
    </row>
    <row r="82" spans="1:22" x14ac:dyDescent="0.3">
      <c r="A82">
        <v>81</v>
      </c>
      <c r="B82">
        <v>21</v>
      </c>
      <c r="C82" t="s">
        <v>18</v>
      </c>
      <c r="D82" t="s">
        <v>19</v>
      </c>
      <c r="E82" t="s">
        <v>109</v>
      </c>
      <c r="F82">
        <v>3</v>
      </c>
      <c r="G82" t="s">
        <v>34</v>
      </c>
      <c r="H82" t="s">
        <v>22</v>
      </c>
      <c r="I82">
        <v>7.1</v>
      </c>
      <c r="J82">
        <v>8</v>
      </c>
      <c r="K82" t="s">
        <v>17</v>
      </c>
      <c r="L82">
        <v>4</v>
      </c>
      <c r="M82" t="str">
        <f>IF(Table1[[#This Row],[Age]]&lt;=18,"Teen",IF(Table1[[#This Row],[Age]]&lt;=21,"Young Adult","Adult"))</f>
        <v>Young Adult</v>
      </c>
      <c r="N82" t="str">
        <f t="shared" si="5"/>
        <v>Moderate</v>
      </c>
      <c r="O82" t="str">
        <f t="shared" si="6"/>
        <v>Medium</v>
      </c>
      <c r="P82" t="str">
        <f t="shared" si="7"/>
        <v>Healthy</v>
      </c>
      <c r="Q82">
        <f t="shared" si="8"/>
        <v>0</v>
      </c>
      <c r="R82" t="str">
        <f t="shared" si="9"/>
        <v>Good</v>
      </c>
      <c r="S82">
        <f>COUNTIF('Students Social Media Addiction'!O:O,"High")/COUNTA(Table1[Student_ID])</f>
        <v>0.5787234042553191</v>
      </c>
      <c r="T82">
        <f>AVERAGE(Table1[Academic Impact Flag])</f>
        <v>0.64255319148936174</v>
      </c>
      <c r="U82">
        <f>AVERAGE(Table1[Sleep_Hours_Per_Night])</f>
        <v>6.868936170212768</v>
      </c>
      <c r="V82">
        <f>AVERAGE(Table1[Mental_Health_Score])</f>
        <v>6.2269503546099294</v>
      </c>
    </row>
    <row r="83" spans="1:22" x14ac:dyDescent="0.3">
      <c r="A83">
        <v>82</v>
      </c>
      <c r="B83">
        <v>19</v>
      </c>
      <c r="C83" t="s">
        <v>12</v>
      </c>
      <c r="D83" t="s">
        <v>13</v>
      </c>
      <c r="E83" t="s">
        <v>110</v>
      </c>
      <c r="F83">
        <v>4.8</v>
      </c>
      <c r="G83" t="s">
        <v>25</v>
      </c>
      <c r="H83" t="s">
        <v>16</v>
      </c>
      <c r="I83">
        <v>5.7</v>
      </c>
      <c r="J83">
        <v>6</v>
      </c>
      <c r="K83" t="s">
        <v>23</v>
      </c>
      <c r="L83">
        <v>7</v>
      </c>
      <c r="M83" t="str">
        <f>IF(Table1[[#This Row],[Age]]&lt;=18,"Teen",IF(Table1[[#This Row],[Age]]&lt;=21,"Young Adult","Adult"))</f>
        <v>Young Adult</v>
      </c>
      <c r="N83" t="str">
        <f t="shared" si="5"/>
        <v>High</v>
      </c>
      <c r="O83" t="str">
        <f t="shared" si="6"/>
        <v>High</v>
      </c>
      <c r="P83" t="str">
        <f t="shared" si="7"/>
        <v>Poor</v>
      </c>
      <c r="Q83">
        <f t="shared" si="8"/>
        <v>1</v>
      </c>
      <c r="R83" t="str">
        <f t="shared" si="9"/>
        <v>Average</v>
      </c>
      <c r="S83">
        <f>COUNTIF('Students Social Media Addiction'!O:O,"High")/COUNTA(Table1[Student_ID])</f>
        <v>0.5787234042553191</v>
      </c>
      <c r="T83">
        <f>AVERAGE(Table1[Academic Impact Flag])</f>
        <v>0.64255319148936174</v>
      </c>
      <c r="U83">
        <f>AVERAGE(Table1[Sleep_Hours_Per_Night])</f>
        <v>6.868936170212768</v>
      </c>
      <c r="V83">
        <f>AVERAGE(Table1[Mental_Health_Score])</f>
        <v>6.2269503546099294</v>
      </c>
    </row>
    <row r="84" spans="1:22" x14ac:dyDescent="0.3">
      <c r="A84">
        <v>83</v>
      </c>
      <c r="B84">
        <v>20</v>
      </c>
      <c r="C84" t="s">
        <v>18</v>
      </c>
      <c r="D84" t="s">
        <v>13</v>
      </c>
      <c r="E84" t="s">
        <v>111</v>
      </c>
      <c r="F84">
        <v>3.8</v>
      </c>
      <c r="G84" t="s">
        <v>31</v>
      </c>
      <c r="H84" t="s">
        <v>22</v>
      </c>
      <c r="I84">
        <v>6.6</v>
      </c>
      <c r="J84">
        <v>7</v>
      </c>
      <c r="K84" t="s">
        <v>26</v>
      </c>
      <c r="L84">
        <v>6</v>
      </c>
      <c r="M84" t="str">
        <f>IF(Table1[[#This Row],[Age]]&lt;=18,"Teen",IF(Table1[[#This Row],[Age]]&lt;=21,"Young Adult","Adult"))</f>
        <v>Young Adult</v>
      </c>
      <c r="N84" t="str">
        <f t="shared" si="5"/>
        <v>Moderate</v>
      </c>
      <c r="O84" t="str">
        <f t="shared" si="6"/>
        <v>Medium</v>
      </c>
      <c r="P84" t="str">
        <f t="shared" si="7"/>
        <v>Average</v>
      </c>
      <c r="Q84">
        <f t="shared" si="8"/>
        <v>0</v>
      </c>
      <c r="R84" t="str">
        <f t="shared" si="9"/>
        <v>Good</v>
      </c>
      <c r="S84">
        <f>COUNTIF('Students Social Media Addiction'!O:O,"High")/COUNTA(Table1[Student_ID])</f>
        <v>0.5787234042553191</v>
      </c>
      <c r="T84">
        <f>AVERAGE(Table1[Academic Impact Flag])</f>
        <v>0.64255319148936174</v>
      </c>
      <c r="U84">
        <f>AVERAGE(Table1[Sleep_Hours_Per_Night])</f>
        <v>6.868936170212768</v>
      </c>
      <c r="V84">
        <f>AVERAGE(Table1[Mental_Health_Score])</f>
        <v>6.2269503546099294</v>
      </c>
    </row>
    <row r="85" spans="1:22" x14ac:dyDescent="0.3">
      <c r="A85">
        <v>84</v>
      </c>
      <c r="B85">
        <v>22</v>
      </c>
      <c r="C85" t="s">
        <v>12</v>
      </c>
      <c r="D85" t="s">
        <v>19</v>
      </c>
      <c r="E85" t="s">
        <v>112</v>
      </c>
      <c r="F85">
        <v>2.7</v>
      </c>
      <c r="G85" t="s">
        <v>34</v>
      </c>
      <c r="H85" t="s">
        <v>22</v>
      </c>
      <c r="I85">
        <v>7.2</v>
      </c>
      <c r="J85">
        <v>8</v>
      </c>
      <c r="K85" t="s">
        <v>17</v>
      </c>
      <c r="L85">
        <v>4</v>
      </c>
      <c r="M85" t="str">
        <f>IF(Table1[[#This Row],[Age]]&lt;=18,"Teen",IF(Table1[[#This Row],[Age]]&lt;=21,"Young Adult","Adult"))</f>
        <v>Adult</v>
      </c>
      <c r="N85" t="str">
        <f t="shared" si="5"/>
        <v>Moderate</v>
      </c>
      <c r="O85" t="str">
        <f t="shared" si="6"/>
        <v>Medium</v>
      </c>
      <c r="P85" t="str">
        <f t="shared" si="7"/>
        <v>Healthy</v>
      </c>
      <c r="Q85">
        <f t="shared" si="8"/>
        <v>0</v>
      </c>
      <c r="R85" t="str">
        <f t="shared" si="9"/>
        <v>Good</v>
      </c>
      <c r="S85">
        <f>COUNTIF('Students Social Media Addiction'!O:O,"High")/COUNTA(Table1[Student_ID])</f>
        <v>0.5787234042553191</v>
      </c>
      <c r="T85">
        <f>AVERAGE(Table1[Academic Impact Flag])</f>
        <v>0.64255319148936174</v>
      </c>
      <c r="U85">
        <f>AVERAGE(Table1[Sleep_Hours_Per_Night])</f>
        <v>6.868936170212768</v>
      </c>
      <c r="V85">
        <f>AVERAGE(Table1[Mental_Health_Score])</f>
        <v>6.2269503546099294</v>
      </c>
    </row>
    <row r="86" spans="1:22" x14ac:dyDescent="0.3">
      <c r="A86">
        <v>85</v>
      </c>
      <c r="B86">
        <v>18</v>
      </c>
      <c r="C86" t="s">
        <v>18</v>
      </c>
      <c r="D86" t="s">
        <v>27</v>
      </c>
      <c r="E86" t="s">
        <v>113</v>
      </c>
      <c r="F86">
        <v>5.6</v>
      </c>
      <c r="G86" t="s">
        <v>36</v>
      </c>
      <c r="H86" t="s">
        <v>16</v>
      </c>
      <c r="I86">
        <v>5.3</v>
      </c>
      <c r="J86">
        <v>5</v>
      </c>
      <c r="K86" t="s">
        <v>23</v>
      </c>
      <c r="L86">
        <v>8</v>
      </c>
      <c r="M86" t="str">
        <f>IF(Table1[[#This Row],[Age]]&lt;=18,"Teen",IF(Table1[[#This Row],[Age]]&lt;=21,"Young Adult","Adult"))</f>
        <v>Teen</v>
      </c>
      <c r="N86" t="str">
        <f t="shared" si="5"/>
        <v>High</v>
      </c>
      <c r="O86" t="str">
        <f t="shared" si="6"/>
        <v>High</v>
      </c>
      <c r="P86" t="str">
        <f t="shared" si="7"/>
        <v>Poor</v>
      </c>
      <c r="Q86">
        <f t="shared" si="8"/>
        <v>1</v>
      </c>
      <c r="R86" t="str">
        <f t="shared" si="9"/>
        <v>Average</v>
      </c>
      <c r="S86">
        <f>COUNTIF('Students Social Media Addiction'!O:O,"High")/COUNTA(Table1[Student_ID])</f>
        <v>0.5787234042553191</v>
      </c>
      <c r="T86">
        <f>AVERAGE(Table1[Academic Impact Flag])</f>
        <v>0.64255319148936174</v>
      </c>
      <c r="U86">
        <f>AVERAGE(Table1[Sleep_Hours_Per_Night])</f>
        <v>6.868936170212768</v>
      </c>
      <c r="V86">
        <f>AVERAGE(Table1[Mental_Health_Score])</f>
        <v>6.2269503546099294</v>
      </c>
    </row>
    <row r="87" spans="1:22" x14ac:dyDescent="0.3">
      <c r="A87">
        <v>86</v>
      </c>
      <c r="B87">
        <v>21</v>
      </c>
      <c r="C87" t="s">
        <v>12</v>
      </c>
      <c r="D87" t="s">
        <v>13</v>
      </c>
      <c r="E87" t="s">
        <v>114</v>
      </c>
      <c r="F87">
        <v>4.5</v>
      </c>
      <c r="G87" t="s">
        <v>15</v>
      </c>
      <c r="H87" t="s">
        <v>16</v>
      </c>
      <c r="I87">
        <v>5.8</v>
      </c>
      <c r="J87">
        <v>6</v>
      </c>
      <c r="K87" t="s">
        <v>26</v>
      </c>
      <c r="L87">
        <v>7</v>
      </c>
      <c r="M87" t="str">
        <f>IF(Table1[[#This Row],[Age]]&lt;=18,"Teen",IF(Table1[[#This Row],[Age]]&lt;=21,"Young Adult","Adult"))</f>
        <v>Young Adult</v>
      </c>
      <c r="N87" t="str">
        <f t="shared" si="5"/>
        <v>High</v>
      </c>
      <c r="O87" t="str">
        <f t="shared" si="6"/>
        <v>High</v>
      </c>
      <c r="P87" t="str">
        <f t="shared" si="7"/>
        <v>Poor</v>
      </c>
      <c r="Q87">
        <f t="shared" si="8"/>
        <v>1</v>
      </c>
      <c r="R87" t="str">
        <f t="shared" si="9"/>
        <v>Average</v>
      </c>
      <c r="S87">
        <f>COUNTIF('Students Social Media Addiction'!O:O,"High")/COUNTA(Table1[Student_ID])</f>
        <v>0.5787234042553191</v>
      </c>
      <c r="T87">
        <f>AVERAGE(Table1[Academic Impact Flag])</f>
        <v>0.64255319148936174</v>
      </c>
      <c r="U87">
        <f>AVERAGE(Table1[Sleep_Hours_Per_Night])</f>
        <v>6.868936170212768</v>
      </c>
      <c r="V87">
        <f>AVERAGE(Table1[Mental_Health_Score])</f>
        <v>6.2269503546099294</v>
      </c>
    </row>
    <row r="88" spans="1:22" x14ac:dyDescent="0.3">
      <c r="A88">
        <v>87</v>
      </c>
      <c r="B88">
        <v>19</v>
      </c>
      <c r="C88" t="s">
        <v>18</v>
      </c>
      <c r="D88" t="s">
        <v>27</v>
      </c>
      <c r="E88" t="s">
        <v>115</v>
      </c>
      <c r="F88">
        <v>5.3</v>
      </c>
      <c r="G88" t="s">
        <v>25</v>
      </c>
      <c r="H88" t="s">
        <v>16</v>
      </c>
      <c r="I88">
        <v>5.5</v>
      </c>
      <c r="J88">
        <v>5</v>
      </c>
      <c r="K88" t="s">
        <v>17</v>
      </c>
      <c r="L88">
        <v>8</v>
      </c>
      <c r="M88" t="str">
        <f>IF(Table1[[#This Row],[Age]]&lt;=18,"Teen",IF(Table1[[#This Row],[Age]]&lt;=21,"Young Adult","Adult"))</f>
        <v>Young Adult</v>
      </c>
      <c r="N88" t="str">
        <f t="shared" si="5"/>
        <v>High</v>
      </c>
      <c r="O88" t="str">
        <f t="shared" si="6"/>
        <v>High</v>
      </c>
      <c r="P88" t="str">
        <f t="shared" si="7"/>
        <v>Poor</v>
      </c>
      <c r="Q88">
        <f t="shared" si="8"/>
        <v>1</v>
      </c>
      <c r="R88" t="str">
        <f t="shared" si="9"/>
        <v>Average</v>
      </c>
      <c r="S88">
        <f>COUNTIF('Students Social Media Addiction'!O:O,"High")/COUNTA(Table1[Student_ID])</f>
        <v>0.5787234042553191</v>
      </c>
      <c r="T88">
        <f>AVERAGE(Table1[Academic Impact Flag])</f>
        <v>0.64255319148936174</v>
      </c>
      <c r="U88">
        <f>AVERAGE(Table1[Sleep_Hours_Per_Night])</f>
        <v>6.868936170212768</v>
      </c>
      <c r="V88">
        <f>AVERAGE(Table1[Mental_Health_Score])</f>
        <v>6.2269503546099294</v>
      </c>
    </row>
    <row r="89" spans="1:22" x14ac:dyDescent="0.3">
      <c r="A89">
        <v>88</v>
      </c>
      <c r="B89">
        <v>23</v>
      </c>
      <c r="C89" t="s">
        <v>12</v>
      </c>
      <c r="D89" t="s">
        <v>19</v>
      </c>
      <c r="E89" t="s">
        <v>116</v>
      </c>
      <c r="F89">
        <v>2.6</v>
      </c>
      <c r="G89" t="s">
        <v>34</v>
      </c>
      <c r="H89" t="s">
        <v>22</v>
      </c>
      <c r="I89">
        <v>7.3</v>
      </c>
      <c r="J89">
        <v>8</v>
      </c>
      <c r="K89" t="s">
        <v>23</v>
      </c>
      <c r="L89">
        <v>4</v>
      </c>
      <c r="M89" t="str">
        <f>IF(Table1[[#This Row],[Age]]&lt;=18,"Teen",IF(Table1[[#This Row],[Age]]&lt;=21,"Young Adult","Adult"))</f>
        <v>Adult</v>
      </c>
      <c r="N89" t="str">
        <f t="shared" si="5"/>
        <v>Moderate</v>
      </c>
      <c r="O89" t="str">
        <f t="shared" si="6"/>
        <v>Medium</v>
      </c>
      <c r="P89" t="str">
        <f t="shared" si="7"/>
        <v>Healthy</v>
      </c>
      <c r="Q89">
        <f t="shared" si="8"/>
        <v>0</v>
      </c>
      <c r="R89" t="str">
        <f t="shared" si="9"/>
        <v>Good</v>
      </c>
      <c r="S89">
        <f>COUNTIF('Students Social Media Addiction'!O:O,"High")/COUNTA(Table1[Student_ID])</f>
        <v>0.5787234042553191</v>
      </c>
      <c r="T89">
        <f>AVERAGE(Table1[Academic Impact Flag])</f>
        <v>0.64255319148936174</v>
      </c>
      <c r="U89">
        <f>AVERAGE(Table1[Sleep_Hours_Per_Night])</f>
        <v>6.868936170212768</v>
      </c>
      <c r="V89">
        <f>AVERAGE(Table1[Mental_Health_Score])</f>
        <v>6.2269503546099294</v>
      </c>
    </row>
    <row r="90" spans="1:22" x14ac:dyDescent="0.3">
      <c r="A90">
        <v>89</v>
      </c>
      <c r="B90">
        <v>20</v>
      </c>
      <c r="C90" t="s">
        <v>18</v>
      </c>
      <c r="D90" t="s">
        <v>13</v>
      </c>
      <c r="E90" t="s">
        <v>117</v>
      </c>
      <c r="F90">
        <v>4.4000000000000004</v>
      </c>
      <c r="G90" t="s">
        <v>29</v>
      </c>
      <c r="H90" t="s">
        <v>16</v>
      </c>
      <c r="I90">
        <v>6</v>
      </c>
      <c r="J90">
        <v>6</v>
      </c>
      <c r="K90" t="s">
        <v>26</v>
      </c>
      <c r="L90">
        <v>7</v>
      </c>
      <c r="M90" t="str">
        <f>IF(Table1[[#This Row],[Age]]&lt;=18,"Teen",IF(Table1[[#This Row],[Age]]&lt;=21,"Young Adult","Adult"))</f>
        <v>Young Adult</v>
      </c>
      <c r="N90" t="str">
        <f t="shared" si="5"/>
        <v>High</v>
      </c>
      <c r="O90" t="str">
        <f t="shared" si="6"/>
        <v>High</v>
      </c>
      <c r="P90" t="str">
        <f t="shared" si="7"/>
        <v>Average</v>
      </c>
      <c r="Q90">
        <f t="shared" si="8"/>
        <v>1</v>
      </c>
      <c r="R90" t="str">
        <f t="shared" si="9"/>
        <v>Average</v>
      </c>
      <c r="S90">
        <f>COUNTIF('Students Social Media Addiction'!O:O,"High")/COUNTA(Table1[Student_ID])</f>
        <v>0.5787234042553191</v>
      </c>
      <c r="T90">
        <f>AVERAGE(Table1[Academic Impact Flag])</f>
        <v>0.64255319148936174</v>
      </c>
      <c r="U90">
        <f>AVERAGE(Table1[Sleep_Hours_Per_Night])</f>
        <v>6.868936170212768</v>
      </c>
      <c r="V90">
        <f>AVERAGE(Table1[Mental_Health_Score])</f>
        <v>6.2269503546099294</v>
      </c>
    </row>
    <row r="91" spans="1:22" x14ac:dyDescent="0.3">
      <c r="A91">
        <v>90</v>
      </c>
      <c r="B91">
        <v>18</v>
      </c>
      <c r="C91" t="s">
        <v>12</v>
      </c>
      <c r="D91" t="s">
        <v>27</v>
      </c>
      <c r="E91" t="s">
        <v>118</v>
      </c>
      <c r="F91">
        <v>5.8</v>
      </c>
      <c r="G91" t="s">
        <v>15</v>
      </c>
      <c r="H91" t="s">
        <v>16</v>
      </c>
      <c r="I91">
        <v>5.2</v>
      </c>
      <c r="J91">
        <v>5</v>
      </c>
      <c r="K91" t="s">
        <v>23</v>
      </c>
      <c r="L91">
        <v>9</v>
      </c>
      <c r="M91" t="str">
        <f>IF(Table1[[#This Row],[Age]]&lt;=18,"Teen",IF(Table1[[#This Row],[Age]]&lt;=21,"Young Adult","Adult"))</f>
        <v>Teen</v>
      </c>
      <c r="N91" t="str">
        <f t="shared" si="5"/>
        <v>High</v>
      </c>
      <c r="O91" t="str">
        <f t="shared" si="6"/>
        <v>High</v>
      </c>
      <c r="P91" t="str">
        <f t="shared" si="7"/>
        <v>Poor</v>
      </c>
      <c r="Q91">
        <f t="shared" si="8"/>
        <v>1</v>
      </c>
      <c r="R91" t="str">
        <f t="shared" si="9"/>
        <v>Average</v>
      </c>
      <c r="S91">
        <f>COUNTIF('Students Social Media Addiction'!O:O,"High")/COUNTA(Table1[Student_ID])</f>
        <v>0.5787234042553191</v>
      </c>
      <c r="T91">
        <f>AVERAGE(Table1[Academic Impact Flag])</f>
        <v>0.64255319148936174</v>
      </c>
      <c r="U91">
        <f>AVERAGE(Table1[Sleep_Hours_Per_Night])</f>
        <v>6.868936170212768</v>
      </c>
      <c r="V91">
        <f>AVERAGE(Table1[Mental_Health_Score])</f>
        <v>6.2269503546099294</v>
      </c>
    </row>
    <row r="92" spans="1:22" x14ac:dyDescent="0.3">
      <c r="A92">
        <v>91</v>
      </c>
      <c r="B92">
        <v>22</v>
      </c>
      <c r="C92" t="s">
        <v>18</v>
      </c>
      <c r="D92" t="s">
        <v>19</v>
      </c>
      <c r="E92" t="s">
        <v>119</v>
      </c>
      <c r="F92">
        <v>2.9</v>
      </c>
      <c r="G92" t="s">
        <v>31</v>
      </c>
      <c r="H92" t="s">
        <v>22</v>
      </c>
      <c r="I92">
        <v>7</v>
      </c>
      <c r="J92">
        <v>7</v>
      </c>
      <c r="K92" t="s">
        <v>17</v>
      </c>
      <c r="L92">
        <v>5</v>
      </c>
      <c r="M92" t="str">
        <f>IF(Table1[[#This Row],[Age]]&lt;=18,"Teen",IF(Table1[[#This Row],[Age]]&lt;=21,"Young Adult","Adult"))</f>
        <v>Adult</v>
      </c>
      <c r="N92" t="str">
        <f t="shared" si="5"/>
        <v>Moderate</v>
      </c>
      <c r="O92" t="str">
        <f t="shared" si="6"/>
        <v>Medium</v>
      </c>
      <c r="P92" t="str">
        <f t="shared" si="7"/>
        <v>Average</v>
      </c>
      <c r="Q92">
        <f t="shared" si="8"/>
        <v>0</v>
      </c>
      <c r="R92" t="str">
        <f t="shared" si="9"/>
        <v>Good</v>
      </c>
      <c r="S92">
        <f>COUNTIF('Students Social Media Addiction'!O:O,"High")/COUNTA(Table1[Student_ID])</f>
        <v>0.5787234042553191</v>
      </c>
      <c r="T92">
        <f>AVERAGE(Table1[Academic Impact Flag])</f>
        <v>0.64255319148936174</v>
      </c>
      <c r="U92">
        <f>AVERAGE(Table1[Sleep_Hours_Per_Night])</f>
        <v>6.868936170212768</v>
      </c>
      <c r="V92">
        <f>AVERAGE(Table1[Mental_Health_Score])</f>
        <v>6.2269503546099294</v>
      </c>
    </row>
    <row r="93" spans="1:22" x14ac:dyDescent="0.3">
      <c r="A93">
        <v>92</v>
      </c>
      <c r="B93">
        <v>19</v>
      </c>
      <c r="C93" t="s">
        <v>12</v>
      </c>
      <c r="D93" t="s">
        <v>13</v>
      </c>
      <c r="E93" t="s">
        <v>120</v>
      </c>
      <c r="F93">
        <v>4.7</v>
      </c>
      <c r="G93" t="s">
        <v>25</v>
      </c>
      <c r="H93" t="s">
        <v>16</v>
      </c>
      <c r="I93">
        <v>5.8</v>
      </c>
      <c r="J93">
        <v>6</v>
      </c>
      <c r="K93" t="s">
        <v>26</v>
      </c>
      <c r="L93">
        <v>7</v>
      </c>
      <c r="M93" t="str">
        <f>IF(Table1[[#This Row],[Age]]&lt;=18,"Teen",IF(Table1[[#This Row],[Age]]&lt;=21,"Young Adult","Adult"))</f>
        <v>Young Adult</v>
      </c>
      <c r="N93" t="str">
        <f t="shared" si="5"/>
        <v>High</v>
      </c>
      <c r="O93" t="str">
        <f t="shared" si="6"/>
        <v>High</v>
      </c>
      <c r="P93" t="str">
        <f t="shared" si="7"/>
        <v>Poor</v>
      </c>
      <c r="Q93">
        <f t="shared" si="8"/>
        <v>1</v>
      </c>
      <c r="R93" t="str">
        <f t="shared" si="9"/>
        <v>Average</v>
      </c>
      <c r="S93">
        <f>COUNTIF('Students Social Media Addiction'!O:O,"High")/COUNTA(Table1[Student_ID])</f>
        <v>0.5787234042553191</v>
      </c>
      <c r="T93">
        <f>AVERAGE(Table1[Academic Impact Flag])</f>
        <v>0.64255319148936174</v>
      </c>
      <c r="U93">
        <f>AVERAGE(Table1[Sleep_Hours_Per_Night])</f>
        <v>6.868936170212768</v>
      </c>
      <c r="V93">
        <f>AVERAGE(Table1[Mental_Health_Score])</f>
        <v>6.2269503546099294</v>
      </c>
    </row>
    <row r="94" spans="1:22" x14ac:dyDescent="0.3">
      <c r="A94">
        <v>93</v>
      </c>
      <c r="B94">
        <v>21</v>
      </c>
      <c r="C94" t="s">
        <v>18</v>
      </c>
      <c r="D94" t="s">
        <v>13</v>
      </c>
      <c r="E94" t="s">
        <v>121</v>
      </c>
      <c r="F94">
        <v>3.7</v>
      </c>
      <c r="G94" t="s">
        <v>36</v>
      </c>
      <c r="H94" t="s">
        <v>22</v>
      </c>
      <c r="I94">
        <v>6.5</v>
      </c>
      <c r="J94">
        <v>7</v>
      </c>
      <c r="K94" t="s">
        <v>23</v>
      </c>
      <c r="L94">
        <v>6</v>
      </c>
      <c r="M94" t="str">
        <f>IF(Table1[[#This Row],[Age]]&lt;=18,"Teen",IF(Table1[[#This Row],[Age]]&lt;=21,"Young Adult","Adult"))</f>
        <v>Young Adult</v>
      </c>
      <c r="N94" t="str">
        <f t="shared" si="5"/>
        <v>Moderate</v>
      </c>
      <c r="O94" t="str">
        <f t="shared" si="6"/>
        <v>Medium</v>
      </c>
      <c r="P94" t="str">
        <f t="shared" si="7"/>
        <v>Average</v>
      </c>
      <c r="Q94">
        <f t="shared" si="8"/>
        <v>0</v>
      </c>
      <c r="R94" t="str">
        <f t="shared" si="9"/>
        <v>Good</v>
      </c>
      <c r="S94">
        <f>COUNTIF('Students Social Media Addiction'!O:O,"High")/COUNTA(Table1[Student_ID])</f>
        <v>0.5787234042553191</v>
      </c>
      <c r="T94">
        <f>AVERAGE(Table1[Academic Impact Flag])</f>
        <v>0.64255319148936174</v>
      </c>
      <c r="U94">
        <f>AVERAGE(Table1[Sleep_Hours_Per_Night])</f>
        <v>6.868936170212768</v>
      </c>
      <c r="V94">
        <f>AVERAGE(Table1[Mental_Health_Score])</f>
        <v>6.2269503546099294</v>
      </c>
    </row>
    <row r="95" spans="1:22" x14ac:dyDescent="0.3">
      <c r="A95">
        <v>94</v>
      </c>
      <c r="B95">
        <v>20</v>
      </c>
      <c r="C95" t="s">
        <v>12</v>
      </c>
      <c r="D95" t="s">
        <v>27</v>
      </c>
      <c r="E95" t="s">
        <v>122</v>
      </c>
      <c r="F95">
        <v>5.5</v>
      </c>
      <c r="G95" t="s">
        <v>15</v>
      </c>
      <c r="H95" t="s">
        <v>16</v>
      </c>
      <c r="I95">
        <v>5.4</v>
      </c>
      <c r="J95">
        <v>5</v>
      </c>
      <c r="K95" t="s">
        <v>17</v>
      </c>
      <c r="L95">
        <v>8</v>
      </c>
      <c r="M95" t="str">
        <f>IF(Table1[[#This Row],[Age]]&lt;=18,"Teen",IF(Table1[[#This Row],[Age]]&lt;=21,"Young Adult","Adult"))</f>
        <v>Young Adult</v>
      </c>
      <c r="N95" t="str">
        <f t="shared" si="5"/>
        <v>High</v>
      </c>
      <c r="O95" t="str">
        <f t="shared" si="6"/>
        <v>High</v>
      </c>
      <c r="P95" t="str">
        <f t="shared" si="7"/>
        <v>Poor</v>
      </c>
      <c r="Q95">
        <f t="shared" si="8"/>
        <v>1</v>
      </c>
      <c r="R95" t="str">
        <f t="shared" si="9"/>
        <v>Average</v>
      </c>
      <c r="S95">
        <f>COUNTIF('Students Social Media Addiction'!O:O,"High")/COUNTA(Table1[Student_ID])</f>
        <v>0.5787234042553191</v>
      </c>
      <c r="T95">
        <f>AVERAGE(Table1[Academic Impact Flag])</f>
        <v>0.64255319148936174</v>
      </c>
      <c r="U95">
        <f>AVERAGE(Table1[Sleep_Hours_Per_Night])</f>
        <v>6.868936170212768</v>
      </c>
      <c r="V95">
        <f>AVERAGE(Table1[Mental_Health_Score])</f>
        <v>6.2269503546099294</v>
      </c>
    </row>
    <row r="96" spans="1:22" x14ac:dyDescent="0.3">
      <c r="A96">
        <v>95</v>
      </c>
      <c r="B96">
        <v>23</v>
      </c>
      <c r="C96" t="s">
        <v>18</v>
      </c>
      <c r="D96" t="s">
        <v>19</v>
      </c>
      <c r="E96" t="s">
        <v>123</v>
      </c>
      <c r="F96">
        <v>2.4</v>
      </c>
      <c r="G96" t="s">
        <v>34</v>
      </c>
      <c r="H96" t="s">
        <v>22</v>
      </c>
      <c r="I96">
        <v>7.4</v>
      </c>
      <c r="J96">
        <v>8</v>
      </c>
      <c r="K96" t="s">
        <v>26</v>
      </c>
      <c r="L96">
        <v>4</v>
      </c>
      <c r="M96" t="str">
        <f>IF(Table1[[#This Row],[Age]]&lt;=18,"Teen",IF(Table1[[#This Row],[Age]]&lt;=21,"Young Adult","Adult"))</f>
        <v>Adult</v>
      </c>
      <c r="N96" t="str">
        <f t="shared" si="5"/>
        <v>Moderate</v>
      </c>
      <c r="O96" t="str">
        <f t="shared" si="6"/>
        <v>Medium</v>
      </c>
      <c r="P96" t="str">
        <f t="shared" si="7"/>
        <v>Healthy</v>
      </c>
      <c r="Q96">
        <f t="shared" si="8"/>
        <v>0</v>
      </c>
      <c r="R96" t="str">
        <f t="shared" si="9"/>
        <v>Good</v>
      </c>
      <c r="S96">
        <f>COUNTIF('Students Social Media Addiction'!O:O,"High")/COUNTA(Table1[Student_ID])</f>
        <v>0.5787234042553191</v>
      </c>
      <c r="T96">
        <f>AVERAGE(Table1[Academic Impact Flag])</f>
        <v>0.64255319148936174</v>
      </c>
      <c r="U96">
        <f>AVERAGE(Table1[Sleep_Hours_Per_Night])</f>
        <v>6.868936170212768</v>
      </c>
      <c r="V96">
        <f>AVERAGE(Table1[Mental_Health_Score])</f>
        <v>6.2269503546099294</v>
      </c>
    </row>
    <row r="97" spans="1:22" x14ac:dyDescent="0.3">
      <c r="A97">
        <v>96</v>
      </c>
      <c r="B97">
        <v>19</v>
      </c>
      <c r="C97" t="s">
        <v>12</v>
      </c>
      <c r="D97" t="s">
        <v>13</v>
      </c>
      <c r="E97" t="s">
        <v>124</v>
      </c>
      <c r="F97">
        <v>4.9000000000000004</v>
      </c>
      <c r="G97" t="s">
        <v>25</v>
      </c>
      <c r="H97" t="s">
        <v>16</v>
      </c>
      <c r="I97">
        <v>5.7</v>
      </c>
      <c r="J97">
        <v>6</v>
      </c>
      <c r="K97" t="s">
        <v>23</v>
      </c>
      <c r="L97">
        <v>7</v>
      </c>
      <c r="M97" t="str">
        <f>IF(Table1[[#This Row],[Age]]&lt;=18,"Teen",IF(Table1[[#This Row],[Age]]&lt;=21,"Young Adult","Adult"))</f>
        <v>Young Adult</v>
      </c>
      <c r="N97" t="str">
        <f t="shared" si="5"/>
        <v>High</v>
      </c>
      <c r="O97" t="str">
        <f t="shared" si="6"/>
        <v>High</v>
      </c>
      <c r="P97" t="str">
        <f t="shared" si="7"/>
        <v>Poor</v>
      </c>
      <c r="Q97">
        <f t="shared" si="8"/>
        <v>1</v>
      </c>
      <c r="R97" t="str">
        <f t="shared" si="9"/>
        <v>Average</v>
      </c>
      <c r="S97">
        <f>COUNTIF('Students Social Media Addiction'!O:O,"High")/COUNTA(Table1[Student_ID])</f>
        <v>0.5787234042553191</v>
      </c>
      <c r="T97">
        <f>AVERAGE(Table1[Academic Impact Flag])</f>
        <v>0.64255319148936174</v>
      </c>
      <c r="U97">
        <f>AVERAGE(Table1[Sleep_Hours_Per_Night])</f>
        <v>6.868936170212768</v>
      </c>
      <c r="V97">
        <f>AVERAGE(Table1[Mental_Health_Score])</f>
        <v>6.2269503546099294</v>
      </c>
    </row>
    <row r="98" spans="1:22" x14ac:dyDescent="0.3">
      <c r="A98">
        <v>97</v>
      </c>
      <c r="B98">
        <v>18</v>
      </c>
      <c r="C98" t="s">
        <v>18</v>
      </c>
      <c r="D98" t="s">
        <v>27</v>
      </c>
      <c r="E98" t="s">
        <v>125</v>
      </c>
      <c r="F98">
        <v>5.7</v>
      </c>
      <c r="G98" t="s">
        <v>36</v>
      </c>
      <c r="H98" t="s">
        <v>16</v>
      </c>
      <c r="I98">
        <v>5.3</v>
      </c>
      <c r="J98">
        <v>5</v>
      </c>
      <c r="K98" t="s">
        <v>17</v>
      </c>
      <c r="L98">
        <v>8</v>
      </c>
      <c r="M98" t="str">
        <f>IF(Table1[[#This Row],[Age]]&lt;=18,"Teen",IF(Table1[[#This Row],[Age]]&lt;=21,"Young Adult","Adult"))</f>
        <v>Teen</v>
      </c>
      <c r="N98" t="str">
        <f t="shared" si="5"/>
        <v>High</v>
      </c>
      <c r="O98" t="str">
        <f t="shared" si="6"/>
        <v>High</v>
      </c>
      <c r="P98" t="str">
        <f t="shared" si="7"/>
        <v>Poor</v>
      </c>
      <c r="Q98">
        <f t="shared" si="8"/>
        <v>1</v>
      </c>
      <c r="R98" t="str">
        <f t="shared" si="9"/>
        <v>Average</v>
      </c>
      <c r="S98">
        <f>COUNTIF('Students Social Media Addiction'!O:O,"High")/COUNTA(Table1[Student_ID])</f>
        <v>0.5787234042553191</v>
      </c>
      <c r="T98">
        <f>AVERAGE(Table1[Academic Impact Flag])</f>
        <v>0.64255319148936174</v>
      </c>
      <c r="U98">
        <f>AVERAGE(Table1[Sleep_Hours_Per_Night])</f>
        <v>6.868936170212768</v>
      </c>
      <c r="V98">
        <f>AVERAGE(Table1[Mental_Health_Score])</f>
        <v>6.2269503546099294</v>
      </c>
    </row>
    <row r="99" spans="1:22" x14ac:dyDescent="0.3">
      <c r="A99">
        <v>98</v>
      </c>
      <c r="B99">
        <v>22</v>
      </c>
      <c r="C99" t="s">
        <v>12</v>
      </c>
      <c r="D99" t="s">
        <v>19</v>
      </c>
      <c r="E99" t="s">
        <v>126</v>
      </c>
      <c r="F99">
        <v>2.8</v>
      </c>
      <c r="G99" t="s">
        <v>34</v>
      </c>
      <c r="H99" t="s">
        <v>22</v>
      </c>
      <c r="I99">
        <v>7.1</v>
      </c>
      <c r="J99">
        <v>8</v>
      </c>
      <c r="K99" t="s">
        <v>26</v>
      </c>
      <c r="L99">
        <v>4</v>
      </c>
      <c r="M99" t="str">
        <f>IF(Table1[[#This Row],[Age]]&lt;=18,"Teen",IF(Table1[[#This Row],[Age]]&lt;=21,"Young Adult","Adult"))</f>
        <v>Adult</v>
      </c>
      <c r="N99" t="str">
        <f t="shared" si="5"/>
        <v>Moderate</v>
      </c>
      <c r="O99" t="str">
        <f t="shared" si="6"/>
        <v>Medium</v>
      </c>
      <c r="P99" t="str">
        <f t="shared" si="7"/>
        <v>Healthy</v>
      </c>
      <c r="Q99">
        <f t="shared" si="8"/>
        <v>0</v>
      </c>
      <c r="R99" t="str">
        <f t="shared" si="9"/>
        <v>Good</v>
      </c>
      <c r="S99">
        <f>COUNTIF('Students Social Media Addiction'!O:O,"High")/COUNTA(Table1[Student_ID])</f>
        <v>0.5787234042553191</v>
      </c>
      <c r="T99">
        <f>AVERAGE(Table1[Academic Impact Flag])</f>
        <v>0.64255319148936174</v>
      </c>
      <c r="U99">
        <f>AVERAGE(Table1[Sleep_Hours_Per_Night])</f>
        <v>6.868936170212768</v>
      </c>
      <c r="V99">
        <f>AVERAGE(Table1[Mental_Health_Score])</f>
        <v>6.2269503546099294</v>
      </c>
    </row>
    <row r="100" spans="1:22" x14ac:dyDescent="0.3">
      <c r="A100">
        <v>99</v>
      </c>
      <c r="B100">
        <v>20</v>
      </c>
      <c r="C100" t="s">
        <v>18</v>
      </c>
      <c r="D100" t="s">
        <v>13</v>
      </c>
      <c r="E100" t="s">
        <v>127</v>
      </c>
      <c r="F100">
        <v>4.5999999999999996</v>
      </c>
      <c r="G100" t="s">
        <v>15</v>
      </c>
      <c r="H100" t="s">
        <v>16</v>
      </c>
      <c r="I100">
        <v>5.9</v>
      </c>
      <c r="J100">
        <v>6</v>
      </c>
      <c r="K100" t="s">
        <v>23</v>
      </c>
      <c r="L100">
        <v>7</v>
      </c>
      <c r="M100" t="str">
        <f>IF(Table1[[#This Row],[Age]]&lt;=18,"Teen",IF(Table1[[#This Row],[Age]]&lt;=21,"Young Adult","Adult"))</f>
        <v>Young Adult</v>
      </c>
      <c r="N100" t="str">
        <f t="shared" si="5"/>
        <v>High</v>
      </c>
      <c r="O100" t="str">
        <f t="shared" si="6"/>
        <v>High</v>
      </c>
      <c r="P100" t="str">
        <f t="shared" si="7"/>
        <v>Poor</v>
      </c>
      <c r="Q100">
        <f t="shared" si="8"/>
        <v>1</v>
      </c>
      <c r="R100" t="str">
        <f t="shared" si="9"/>
        <v>Average</v>
      </c>
      <c r="S100">
        <f>COUNTIF('Students Social Media Addiction'!O:O,"High")/COUNTA(Table1[Student_ID])</f>
        <v>0.5787234042553191</v>
      </c>
      <c r="T100">
        <f>AVERAGE(Table1[Academic Impact Flag])</f>
        <v>0.64255319148936174</v>
      </c>
      <c r="U100">
        <f>AVERAGE(Table1[Sleep_Hours_Per_Night])</f>
        <v>6.868936170212768</v>
      </c>
      <c r="V100">
        <f>AVERAGE(Table1[Mental_Health_Score])</f>
        <v>6.2269503546099294</v>
      </c>
    </row>
    <row r="101" spans="1:22" x14ac:dyDescent="0.3">
      <c r="A101">
        <v>100</v>
      </c>
      <c r="B101">
        <v>21</v>
      </c>
      <c r="C101" t="s">
        <v>12</v>
      </c>
      <c r="D101" t="s">
        <v>13</v>
      </c>
      <c r="E101" t="s">
        <v>128</v>
      </c>
      <c r="F101">
        <v>5.4</v>
      </c>
      <c r="G101" t="s">
        <v>25</v>
      </c>
      <c r="H101" t="s">
        <v>16</v>
      </c>
      <c r="I101">
        <v>5.5</v>
      </c>
      <c r="J101">
        <v>5</v>
      </c>
      <c r="K101" t="s">
        <v>17</v>
      </c>
      <c r="L101">
        <v>8</v>
      </c>
      <c r="M101" t="str">
        <f>IF(Table1[[#This Row],[Age]]&lt;=18,"Teen",IF(Table1[[#This Row],[Age]]&lt;=21,"Young Adult","Adult"))</f>
        <v>Young Adult</v>
      </c>
      <c r="N101" t="str">
        <f t="shared" si="5"/>
        <v>High</v>
      </c>
      <c r="O101" t="str">
        <f t="shared" si="6"/>
        <v>High</v>
      </c>
      <c r="P101" t="str">
        <f t="shared" si="7"/>
        <v>Poor</v>
      </c>
      <c r="Q101">
        <f t="shared" si="8"/>
        <v>1</v>
      </c>
      <c r="R101" t="str">
        <f t="shared" si="9"/>
        <v>Average</v>
      </c>
      <c r="S101">
        <f>COUNTIF('Students Social Media Addiction'!O:O,"High")/COUNTA(Table1[Student_ID])</f>
        <v>0.5787234042553191</v>
      </c>
      <c r="T101">
        <f>AVERAGE(Table1[Academic Impact Flag])</f>
        <v>0.64255319148936174</v>
      </c>
      <c r="U101">
        <f>AVERAGE(Table1[Sleep_Hours_Per_Night])</f>
        <v>6.868936170212768</v>
      </c>
      <c r="V101">
        <f>AVERAGE(Table1[Mental_Health_Score])</f>
        <v>6.2269503546099294</v>
      </c>
    </row>
    <row r="102" spans="1:22" x14ac:dyDescent="0.3">
      <c r="A102">
        <v>101</v>
      </c>
      <c r="B102">
        <v>19</v>
      </c>
      <c r="C102" t="s">
        <v>18</v>
      </c>
      <c r="D102" t="s">
        <v>27</v>
      </c>
      <c r="E102" t="s">
        <v>129</v>
      </c>
      <c r="F102">
        <v>5.8</v>
      </c>
      <c r="G102" t="s">
        <v>29</v>
      </c>
      <c r="H102" t="s">
        <v>16</v>
      </c>
      <c r="I102">
        <v>5.2</v>
      </c>
      <c r="J102">
        <v>5</v>
      </c>
      <c r="K102" t="s">
        <v>26</v>
      </c>
      <c r="L102">
        <v>9</v>
      </c>
      <c r="M102" t="str">
        <f>IF(Table1[[#This Row],[Age]]&lt;=18,"Teen",IF(Table1[[#This Row],[Age]]&lt;=21,"Young Adult","Adult"))</f>
        <v>Young Adult</v>
      </c>
      <c r="N102" t="str">
        <f t="shared" si="5"/>
        <v>High</v>
      </c>
      <c r="O102" t="str">
        <f t="shared" si="6"/>
        <v>High</v>
      </c>
      <c r="P102" t="str">
        <f t="shared" si="7"/>
        <v>Poor</v>
      </c>
      <c r="Q102">
        <f t="shared" si="8"/>
        <v>1</v>
      </c>
      <c r="R102" t="str">
        <f t="shared" si="9"/>
        <v>Average</v>
      </c>
      <c r="S102">
        <f>COUNTIF('Students Social Media Addiction'!O:O,"High")/COUNTA(Table1[Student_ID])</f>
        <v>0.5787234042553191</v>
      </c>
      <c r="T102">
        <f>AVERAGE(Table1[Academic Impact Flag])</f>
        <v>0.64255319148936174</v>
      </c>
      <c r="U102">
        <f>AVERAGE(Table1[Sleep_Hours_Per_Night])</f>
        <v>6.868936170212768</v>
      </c>
      <c r="V102">
        <f>AVERAGE(Table1[Mental_Health_Score])</f>
        <v>6.2269503546099294</v>
      </c>
    </row>
    <row r="103" spans="1:22" x14ac:dyDescent="0.3">
      <c r="A103">
        <v>102</v>
      </c>
      <c r="B103">
        <v>23</v>
      </c>
      <c r="C103" t="s">
        <v>12</v>
      </c>
      <c r="D103" t="s">
        <v>19</v>
      </c>
      <c r="E103" t="s">
        <v>130</v>
      </c>
      <c r="F103">
        <v>2.5</v>
      </c>
      <c r="G103" t="s">
        <v>34</v>
      </c>
      <c r="H103" t="s">
        <v>22</v>
      </c>
      <c r="I103">
        <v>7.3</v>
      </c>
      <c r="J103">
        <v>8</v>
      </c>
      <c r="K103" t="s">
        <v>23</v>
      </c>
      <c r="L103">
        <v>4</v>
      </c>
      <c r="M103" t="str">
        <f>IF(Table1[[#This Row],[Age]]&lt;=18,"Teen",IF(Table1[[#This Row],[Age]]&lt;=21,"Young Adult","Adult"))</f>
        <v>Adult</v>
      </c>
      <c r="N103" t="str">
        <f t="shared" si="5"/>
        <v>Moderate</v>
      </c>
      <c r="O103" t="str">
        <f t="shared" si="6"/>
        <v>Medium</v>
      </c>
      <c r="P103" t="str">
        <f t="shared" si="7"/>
        <v>Healthy</v>
      </c>
      <c r="Q103">
        <f t="shared" si="8"/>
        <v>0</v>
      </c>
      <c r="R103" t="str">
        <f t="shared" si="9"/>
        <v>Good</v>
      </c>
      <c r="S103">
        <f>COUNTIF('Students Social Media Addiction'!O:O,"High")/COUNTA(Table1[Student_ID])</f>
        <v>0.5787234042553191</v>
      </c>
      <c r="T103">
        <f>AVERAGE(Table1[Academic Impact Flag])</f>
        <v>0.64255319148936174</v>
      </c>
      <c r="U103">
        <f>AVERAGE(Table1[Sleep_Hours_Per_Night])</f>
        <v>6.868936170212768</v>
      </c>
      <c r="V103">
        <f>AVERAGE(Table1[Mental_Health_Score])</f>
        <v>6.2269503546099294</v>
      </c>
    </row>
    <row r="104" spans="1:22" x14ac:dyDescent="0.3">
      <c r="A104">
        <v>103</v>
      </c>
      <c r="B104">
        <v>20</v>
      </c>
      <c r="C104" t="s">
        <v>18</v>
      </c>
      <c r="D104" t="s">
        <v>13</v>
      </c>
      <c r="E104" t="s">
        <v>131</v>
      </c>
      <c r="F104">
        <v>4.7</v>
      </c>
      <c r="G104" t="s">
        <v>31</v>
      </c>
      <c r="H104" t="s">
        <v>16</v>
      </c>
      <c r="I104">
        <v>5.8</v>
      </c>
      <c r="J104">
        <v>6</v>
      </c>
      <c r="K104" t="s">
        <v>17</v>
      </c>
      <c r="L104">
        <v>7</v>
      </c>
      <c r="M104" t="str">
        <f>IF(Table1[[#This Row],[Age]]&lt;=18,"Teen",IF(Table1[[#This Row],[Age]]&lt;=21,"Young Adult","Adult"))</f>
        <v>Young Adult</v>
      </c>
      <c r="N104" t="str">
        <f t="shared" si="5"/>
        <v>High</v>
      </c>
      <c r="O104" t="str">
        <f t="shared" si="6"/>
        <v>High</v>
      </c>
      <c r="P104" t="str">
        <f t="shared" si="7"/>
        <v>Poor</v>
      </c>
      <c r="Q104">
        <f t="shared" si="8"/>
        <v>1</v>
      </c>
      <c r="R104" t="str">
        <f t="shared" si="9"/>
        <v>Average</v>
      </c>
      <c r="S104">
        <f>COUNTIF('Students Social Media Addiction'!O:O,"High")/COUNTA(Table1[Student_ID])</f>
        <v>0.5787234042553191</v>
      </c>
      <c r="T104">
        <f>AVERAGE(Table1[Academic Impact Flag])</f>
        <v>0.64255319148936174</v>
      </c>
      <c r="U104">
        <f>AVERAGE(Table1[Sleep_Hours_Per_Night])</f>
        <v>6.868936170212768</v>
      </c>
      <c r="V104">
        <f>AVERAGE(Table1[Mental_Health_Score])</f>
        <v>6.2269503546099294</v>
      </c>
    </row>
    <row r="105" spans="1:22" x14ac:dyDescent="0.3">
      <c r="A105">
        <v>104</v>
      </c>
      <c r="B105">
        <v>18</v>
      </c>
      <c r="C105" t="s">
        <v>12</v>
      </c>
      <c r="D105" t="s">
        <v>27</v>
      </c>
      <c r="E105" t="s">
        <v>132</v>
      </c>
      <c r="F105">
        <v>5.6</v>
      </c>
      <c r="G105" t="s">
        <v>15</v>
      </c>
      <c r="H105" t="s">
        <v>16</v>
      </c>
      <c r="I105">
        <v>5.4</v>
      </c>
      <c r="J105">
        <v>5</v>
      </c>
      <c r="K105" t="s">
        <v>23</v>
      </c>
      <c r="L105">
        <v>8</v>
      </c>
      <c r="M105" t="str">
        <f>IF(Table1[[#This Row],[Age]]&lt;=18,"Teen",IF(Table1[[#This Row],[Age]]&lt;=21,"Young Adult","Adult"))</f>
        <v>Teen</v>
      </c>
      <c r="N105" t="str">
        <f t="shared" si="5"/>
        <v>High</v>
      </c>
      <c r="O105" t="str">
        <f t="shared" si="6"/>
        <v>High</v>
      </c>
      <c r="P105" t="str">
        <f t="shared" si="7"/>
        <v>Poor</v>
      </c>
      <c r="Q105">
        <f t="shared" si="8"/>
        <v>1</v>
      </c>
      <c r="R105" t="str">
        <f t="shared" si="9"/>
        <v>Average</v>
      </c>
      <c r="S105">
        <f>COUNTIF('Students Social Media Addiction'!O:O,"High")/COUNTA(Table1[Student_ID])</f>
        <v>0.5787234042553191</v>
      </c>
      <c r="T105">
        <f>AVERAGE(Table1[Academic Impact Flag])</f>
        <v>0.64255319148936174</v>
      </c>
      <c r="U105">
        <f>AVERAGE(Table1[Sleep_Hours_Per_Night])</f>
        <v>6.868936170212768</v>
      </c>
      <c r="V105">
        <f>AVERAGE(Table1[Mental_Health_Score])</f>
        <v>6.2269503546099294</v>
      </c>
    </row>
    <row r="106" spans="1:22" x14ac:dyDescent="0.3">
      <c r="A106">
        <v>105</v>
      </c>
      <c r="B106">
        <v>22</v>
      </c>
      <c r="C106" t="s">
        <v>18</v>
      </c>
      <c r="D106" t="s">
        <v>19</v>
      </c>
      <c r="E106" t="s">
        <v>133</v>
      </c>
      <c r="F106">
        <v>2.9</v>
      </c>
      <c r="G106" t="s">
        <v>34</v>
      </c>
      <c r="H106" t="s">
        <v>22</v>
      </c>
      <c r="I106">
        <v>7</v>
      </c>
      <c r="J106">
        <v>7</v>
      </c>
      <c r="K106" t="s">
        <v>26</v>
      </c>
      <c r="L106">
        <v>5</v>
      </c>
      <c r="M106" t="str">
        <f>IF(Table1[[#This Row],[Age]]&lt;=18,"Teen",IF(Table1[[#This Row],[Age]]&lt;=21,"Young Adult","Adult"))</f>
        <v>Adult</v>
      </c>
      <c r="N106" t="str">
        <f t="shared" si="5"/>
        <v>Moderate</v>
      </c>
      <c r="O106" t="str">
        <f t="shared" si="6"/>
        <v>Medium</v>
      </c>
      <c r="P106" t="str">
        <f t="shared" si="7"/>
        <v>Average</v>
      </c>
      <c r="Q106">
        <f t="shared" si="8"/>
        <v>0</v>
      </c>
      <c r="R106" t="str">
        <f t="shared" si="9"/>
        <v>Good</v>
      </c>
      <c r="S106">
        <f>COUNTIF('Students Social Media Addiction'!O:O,"High")/COUNTA(Table1[Student_ID])</f>
        <v>0.5787234042553191</v>
      </c>
      <c r="T106">
        <f>AVERAGE(Table1[Academic Impact Flag])</f>
        <v>0.64255319148936174</v>
      </c>
      <c r="U106">
        <f>AVERAGE(Table1[Sleep_Hours_Per_Night])</f>
        <v>6.868936170212768</v>
      </c>
      <c r="V106">
        <f>AVERAGE(Table1[Mental_Health_Score])</f>
        <v>6.2269503546099294</v>
      </c>
    </row>
    <row r="107" spans="1:22" x14ac:dyDescent="0.3">
      <c r="A107">
        <v>106</v>
      </c>
      <c r="B107">
        <v>19</v>
      </c>
      <c r="C107" t="s">
        <v>12</v>
      </c>
      <c r="D107" t="s">
        <v>13</v>
      </c>
      <c r="E107" t="s">
        <v>134</v>
      </c>
      <c r="F107">
        <v>4.8</v>
      </c>
      <c r="G107" t="s">
        <v>25</v>
      </c>
      <c r="H107" t="s">
        <v>16</v>
      </c>
      <c r="I107">
        <v>5.7</v>
      </c>
      <c r="J107">
        <v>6</v>
      </c>
      <c r="K107" t="s">
        <v>17</v>
      </c>
      <c r="L107">
        <v>7</v>
      </c>
      <c r="M107" t="str">
        <f>IF(Table1[[#This Row],[Age]]&lt;=18,"Teen",IF(Table1[[#This Row],[Age]]&lt;=21,"Young Adult","Adult"))</f>
        <v>Young Adult</v>
      </c>
      <c r="N107" t="str">
        <f t="shared" si="5"/>
        <v>High</v>
      </c>
      <c r="O107" t="str">
        <f t="shared" si="6"/>
        <v>High</v>
      </c>
      <c r="P107" t="str">
        <f t="shared" si="7"/>
        <v>Poor</v>
      </c>
      <c r="Q107">
        <f t="shared" si="8"/>
        <v>1</v>
      </c>
      <c r="R107" t="str">
        <f t="shared" si="9"/>
        <v>Average</v>
      </c>
      <c r="S107">
        <f>COUNTIF('Students Social Media Addiction'!O:O,"High")/COUNTA(Table1[Student_ID])</f>
        <v>0.5787234042553191</v>
      </c>
      <c r="T107">
        <f>AVERAGE(Table1[Academic Impact Flag])</f>
        <v>0.64255319148936174</v>
      </c>
      <c r="U107">
        <f>AVERAGE(Table1[Sleep_Hours_Per_Night])</f>
        <v>6.868936170212768</v>
      </c>
      <c r="V107">
        <f>AVERAGE(Table1[Mental_Health_Score])</f>
        <v>6.2269503546099294</v>
      </c>
    </row>
    <row r="108" spans="1:22" x14ac:dyDescent="0.3">
      <c r="A108">
        <v>107</v>
      </c>
      <c r="B108">
        <v>21</v>
      </c>
      <c r="C108" t="s">
        <v>18</v>
      </c>
      <c r="D108" t="s">
        <v>13</v>
      </c>
      <c r="E108" t="s">
        <v>135</v>
      </c>
      <c r="F108">
        <v>3.8</v>
      </c>
      <c r="G108" t="s">
        <v>29</v>
      </c>
      <c r="H108" t="s">
        <v>22</v>
      </c>
      <c r="I108">
        <v>6.6</v>
      </c>
      <c r="J108">
        <v>7</v>
      </c>
      <c r="K108" t="s">
        <v>23</v>
      </c>
      <c r="L108">
        <v>6</v>
      </c>
      <c r="M108" t="str">
        <f>IF(Table1[[#This Row],[Age]]&lt;=18,"Teen",IF(Table1[[#This Row],[Age]]&lt;=21,"Young Adult","Adult"))</f>
        <v>Young Adult</v>
      </c>
      <c r="N108" t="str">
        <f t="shared" si="5"/>
        <v>Moderate</v>
      </c>
      <c r="O108" t="str">
        <f t="shared" si="6"/>
        <v>Medium</v>
      </c>
      <c r="P108" t="str">
        <f t="shared" si="7"/>
        <v>Average</v>
      </c>
      <c r="Q108">
        <f t="shared" si="8"/>
        <v>0</v>
      </c>
      <c r="R108" t="str">
        <f t="shared" si="9"/>
        <v>Good</v>
      </c>
      <c r="S108">
        <f>COUNTIF('Students Social Media Addiction'!O:O,"High")/COUNTA(Table1[Student_ID])</f>
        <v>0.5787234042553191</v>
      </c>
      <c r="T108">
        <f>AVERAGE(Table1[Academic Impact Flag])</f>
        <v>0.64255319148936174</v>
      </c>
      <c r="U108">
        <f>AVERAGE(Table1[Sleep_Hours_Per_Night])</f>
        <v>6.868936170212768</v>
      </c>
      <c r="V108">
        <f>AVERAGE(Table1[Mental_Health_Score])</f>
        <v>6.2269503546099294</v>
      </c>
    </row>
    <row r="109" spans="1:22" x14ac:dyDescent="0.3">
      <c r="A109">
        <v>108</v>
      </c>
      <c r="B109">
        <v>20</v>
      </c>
      <c r="C109" t="s">
        <v>12</v>
      </c>
      <c r="D109" t="s">
        <v>27</v>
      </c>
      <c r="E109" t="s">
        <v>136</v>
      </c>
      <c r="F109">
        <v>5.5</v>
      </c>
      <c r="G109" t="s">
        <v>36</v>
      </c>
      <c r="H109" t="s">
        <v>16</v>
      </c>
      <c r="I109">
        <v>5.5</v>
      </c>
      <c r="J109">
        <v>5</v>
      </c>
      <c r="K109" t="s">
        <v>26</v>
      </c>
      <c r="L109">
        <v>8</v>
      </c>
      <c r="M109" t="str">
        <f>IF(Table1[[#This Row],[Age]]&lt;=18,"Teen",IF(Table1[[#This Row],[Age]]&lt;=21,"Young Adult","Adult"))</f>
        <v>Young Adult</v>
      </c>
      <c r="N109" t="str">
        <f t="shared" si="5"/>
        <v>High</v>
      </c>
      <c r="O109" t="str">
        <f t="shared" si="6"/>
        <v>High</v>
      </c>
      <c r="P109" t="str">
        <f t="shared" si="7"/>
        <v>Poor</v>
      </c>
      <c r="Q109">
        <f t="shared" si="8"/>
        <v>1</v>
      </c>
      <c r="R109" t="str">
        <f t="shared" si="9"/>
        <v>Average</v>
      </c>
      <c r="S109">
        <f>COUNTIF('Students Social Media Addiction'!O:O,"High")/COUNTA(Table1[Student_ID])</f>
        <v>0.5787234042553191</v>
      </c>
      <c r="T109">
        <f>AVERAGE(Table1[Academic Impact Flag])</f>
        <v>0.64255319148936174</v>
      </c>
      <c r="U109">
        <f>AVERAGE(Table1[Sleep_Hours_Per_Night])</f>
        <v>6.868936170212768</v>
      </c>
      <c r="V109">
        <f>AVERAGE(Table1[Mental_Health_Score])</f>
        <v>6.2269503546099294</v>
      </c>
    </row>
    <row r="110" spans="1:22" x14ac:dyDescent="0.3">
      <c r="A110">
        <v>109</v>
      </c>
      <c r="B110">
        <v>23</v>
      </c>
      <c r="C110" t="s">
        <v>18</v>
      </c>
      <c r="D110" t="s">
        <v>19</v>
      </c>
      <c r="E110" t="s">
        <v>137</v>
      </c>
      <c r="F110">
        <v>2.6</v>
      </c>
      <c r="G110" t="s">
        <v>34</v>
      </c>
      <c r="H110" t="s">
        <v>22</v>
      </c>
      <c r="I110">
        <v>7.2</v>
      </c>
      <c r="J110">
        <v>8</v>
      </c>
      <c r="K110" t="s">
        <v>17</v>
      </c>
      <c r="L110">
        <v>4</v>
      </c>
      <c r="M110" t="str">
        <f>IF(Table1[[#This Row],[Age]]&lt;=18,"Teen",IF(Table1[[#This Row],[Age]]&lt;=21,"Young Adult","Adult"))</f>
        <v>Adult</v>
      </c>
      <c r="N110" t="str">
        <f t="shared" si="5"/>
        <v>Moderate</v>
      </c>
      <c r="O110" t="str">
        <f t="shared" si="6"/>
        <v>Medium</v>
      </c>
      <c r="P110" t="str">
        <f t="shared" si="7"/>
        <v>Healthy</v>
      </c>
      <c r="Q110">
        <f t="shared" si="8"/>
        <v>0</v>
      </c>
      <c r="R110" t="str">
        <f t="shared" si="9"/>
        <v>Good</v>
      </c>
      <c r="S110">
        <f>COUNTIF('Students Social Media Addiction'!O:O,"High")/COUNTA(Table1[Student_ID])</f>
        <v>0.5787234042553191</v>
      </c>
      <c r="T110">
        <f>AVERAGE(Table1[Academic Impact Flag])</f>
        <v>0.64255319148936174</v>
      </c>
      <c r="U110">
        <f>AVERAGE(Table1[Sleep_Hours_Per_Night])</f>
        <v>6.868936170212768</v>
      </c>
      <c r="V110">
        <f>AVERAGE(Table1[Mental_Health_Score])</f>
        <v>6.2269503546099294</v>
      </c>
    </row>
    <row r="111" spans="1:22" x14ac:dyDescent="0.3">
      <c r="A111">
        <v>110</v>
      </c>
      <c r="B111">
        <v>19</v>
      </c>
      <c r="C111" t="s">
        <v>12</v>
      </c>
      <c r="D111" t="s">
        <v>13</v>
      </c>
      <c r="E111" t="s">
        <v>138</v>
      </c>
      <c r="F111">
        <v>4.9000000000000004</v>
      </c>
      <c r="G111" t="s">
        <v>15</v>
      </c>
      <c r="H111" t="s">
        <v>16</v>
      </c>
      <c r="I111">
        <v>5.8</v>
      </c>
      <c r="J111">
        <v>6</v>
      </c>
      <c r="K111" t="s">
        <v>23</v>
      </c>
      <c r="L111">
        <v>7</v>
      </c>
      <c r="M111" t="str">
        <f>IF(Table1[[#This Row],[Age]]&lt;=18,"Teen",IF(Table1[[#This Row],[Age]]&lt;=21,"Young Adult","Adult"))</f>
        <v>Young Adult</v>
      </c>
      <c r="N111" t="str">
        <f t="shared" si="5"/>
        <v>High</v>
      </c>
      <c r="O111" t="str">
        <f t="shared" si="6"/>
        <v>High</v>
      </c>
      <c r="P111" t="str">
        <f t="shared" si="7"/>
        <v>Poor</v>
      </c>
      <c r="Q111">
        <f t="shared" si="8"/>
        <v>1</v>
      </c>
      <c r="R111" t="str">
        <f t="shared" si="9"/>
        <v>Average</v>
      </c>
      <c r="S111">
        <f>COUNTIF('Students Social Media Addiction'!O:O,"High")/COUNTA(Table1[Student_ID])</f>
        <v>0.5787234042553191</v>
      </c>
      <c r="T111">
        <f>AVERAGE(Table1[Academic Impact Flag])</f>
        <v>0.64255319148936174</v>
      </c>
      <c r="U111">
        <f>AVERAGE(Table1[Sleep_Hours_Per_Night])</f>
        <v>6.868936170212768</v>
      </c>
      <c r="V111">
        <f>AVERAGE(Table1[Mental_Health_Score])</f>
        <v>6.2269503546099294</v>
      </c>
    </row>
    <row r="112" spans="1:22" x14ac:dyDescent="0.3">
      <c r="A112">
        <v>111</v>
      </c>
      <c r="B112">
        <v>20</v>
      </c>
      <c r="C112" t="s">
        <v>18</v>
      </c>
      <c r="D112" t="s">
        <v>13</v>
      </c>
      <c r="E112" t="s">
        <v>14</v>
      </c>
      <c r="F112">
        <v>6.1</v>
      </c>
      <c r="G112" t="s">
        <v>15</v>
      </c>
      <c r="H112" t="s">
        <v>16</v>
      </c>
      <c r="I112">
        <v>6.2</v>
      </c>
      <c r="J112">
        <v>5</v>
      </c>
      <c r="K112" t="s">
        <v>23</v>
      </c>
      <c r="L112">
        <v>8</v>
      </c>
      <c r="M112" t="str">
        <f>IF(Table1[[#This Row],[Age]]&lt;=18,"Teen",IF(Table1[[#This Row],[Age]]&lt;=21,"Young Adult","Adult"))</f>
        <v>Young Adult</v>
      </c>
      <c r="N112" t="str">
        <f t="shared" si="5"/>
        <v>Very High</v>
      </c>
      <c r="O112" t="str">
        <f t="shared" si="6"/>
        <v>High</v>
      </c>
      <c r="P112" t="str">
        <f t="shared" si="7"/>
        <v>Average</v>
      </c>
      <c r="Q112">
        <f t="shared" si="8"/>
        <v>1</v>
      </c>
      <c r="R112" t="str">
        <f t="shared" si="9"/>
        <v>Average</v>
      </c>
      <c r="S112">
        <f>COUNTIF('Students Social Media Addiction'!O:O,"High")/COUNTA(Table1[Student_ID])</f>
        <v>0.5787234042553191</v>
      </c>
      <c r="T112">
        <f>AVERAGE(Table1[Academic Impact Flag])</f>
        <v>0.64255319148936174</v>
      </c>
      <c r="U112">
        <f>AVERAGE(Table1[Sleep_Hours_Per_Night])</f>
        <v>6.868936170212768</v>
      </c>
      <c r="V112">
        <f>AVERAGE(Table1[Mental_Health_Score])</f>
        <v>6.2269503546099294</v>
      </c>
    </row>
    <row r="113" spans="1:22" x14ac:dyDescent="0.3">
      <c r="A113">
        <v>112</v>
      </c>
      <c r="B113">
        <v>21</v>
      </c>
      <c r="C113" t="s">
        <v>12</v>
      </c>
      <c r="D113" t="s">
        <v>13</v>
      </c>
      <c r="E113" t="s">
        <v>20</v>
      </c>
      <c r="F113">
        <v>5.8</v>
      </c>
      <c r="G113" t="s">
        <v>25</v>
      </c>
      <c r="H113" t="s">
        <v>16</v>
      </c>
      <c r="I113">
        <v>5.9</v>
      </c>
      <c r="J113">
        <v>6</v>
      </c>
      <c r="K113" t="s">
        <v>17</v>
      </c>
      <c r="L113">
        <v>7</v>
      </c>
      <c r="M113" t="str">
        <f>IF(Table1[[#This Row],[Age]]&lt;=18,"Teen",IF(Table1[[#This Row],[Age]]&lt;=21,"Young Adult","Adult"))</f>
        <v>Young Adult</v>
      </c>
      <c r="N113" t="str">
        <f t="shared" si="5"/>
        <v>High</v>
      </c>
      <c r="O113" t="str">
        <f t="shared" si="6"/>
        <v>High</v>
      </c>
      <c r="P113" t="str">
        <f t="shared" si="7"/>
        <v>Poor</v>
      </c>
      <c r="Q113">
        <f t="shared" si="8"/>
        <v>1</v>
      </c>
      <c r="R113" t="str">
        <f t="shared" si="9"/>
        <v>Average</v>
      </c>
      <c r="S113">
        <f>COUNTIF('Students Social Media Addiction'!O:O,"High")/COUNTA(Table1[Student_ID])</f>
        <v>0.5787234042553191</v>
      </c>
      <c r="T113">
        <f>AVERAGE(Table1[Academic Impact Flag])</f>
        <v>0.64255319148936174</v>
      </c>
      <c r="U113">
        <f>AVERAGE(Table1[Sleep_Hours_Per_Night])</f>
        <v>6.868936170212768</v>
      </c>
      <c r="V113">
        <f>AVERAGE(Table1[Mental_Health_Score])</f>
        <v>6.2269503546099294</v>
      </c>
    </row>
    <row r="114" spans="1:22" x14ac:dyDescent="0.3">
      <c r="A114">
        <v>113</v>
      </c>
      <c r="B114">
        <v>19</v>
      </c>
      <c r="C114" t="s">
        <v>18</v>
      </c>
      <c r="D114" t="s">
        <v>13</v>
      </c>
      <c r="E114" t="s">
        <v>135</v>
      </c>
      <c r="F114">
        <v>4.9000000000000004</v>
      </c>
      <c r="G114" t="s">
        <v>31</v>
      </c>
      <c r="H114" t="s">
        <v>22</v>
      </c>
      <c r="I114">
        <v>7.1</v>
      </c>
      <c r="J114">
        <v>7</v>
      </c>
      <c r="K114" t="s">
        <v>23</v>
      </c>
      <c r="L114">
        <v>5</v>
      </c>
      <c r="M114" t="str">
        <f>IF(Table1[[#This Row],[Age]]&lt;=18,"Teen",IF(Table1[[#This Row],[Age]]&lt;=21,"Young Adult","Adult"))</f>
        <v>Young Adult</v>
      </c>
      <c r="N114" t="str">
        <f t="shared" si="5"/>
        <v>High</v>
      </c>
      <c r="O114" t="str">
        <f t="shared" si="6"/>
        <v>Medium</v>
      </c>
      <c r="P114" t="str">
        <f t="shared" si="7"/>
        <v>Healthy</v>
      </c>
      <c r="Q114">
        <f t="shared" si="8"/>
        <v>0</v>
      </c>
      <c r="R114" t="str">
        <f t="shared" si="9"/>
        <v>Good</v>
      </c>
      <c r="S114">
        <f>COUNTIF('Students Social Media Addiction'!O:O,"High")/COUNTA(Table1[Student_ID])</f>
        <v>0.5787234042553191</v>
      </c>
      <c r="T114">
        <f>AVERAGE(Table1[Academic Impact Flag])</f>
        <v>0.64255319148936174</v>
      </c>
      <c r="U114">
        <f>AVERAGE(Table1[Sleep_Hours_Per_Night])</f>
        <v>6.868936170212768</v>
      </c>
      <c r="V114">
        <f>AVERAGE(Table1[Mental_Health_Score])</f>
        <v>6.2269503546099294</v>
      </c>
    </row>
    <row r="115" spans="1:22" x14ac:dyDescent="0.3">
      <c r="A115">
        <v>114</v>
      </c>
      <c r="B115">
        <v>22</v>
      </c>
      <c r="C115" t="s">
        <v>12</v>
      </c>
      <c r="D115" t="s">
        <v>19</v>
      </c>
      <c r="E115" t="s">
        <v>134</v>
      </c>
      <c r="F115">
        <v>5.5</v>
      </c>
      <c r="G115" t="s">
        <v>15</v>
      </c>
      <c r="H115" t="s">
        <v>16</v>
      </c>
      <c r="I115">
        <v>6</v>
      </c>
      <c r="J115">
        <v>5</v>
      </c>
      <c r="K115" t="s">
        <v>23</v>
      </c>
      <c r="L115">
        <v>8</v>
      </c>
      <c r="M115" t="str">
        <f>IF(Table1[[#This Row],[Age]]&lt;=18,"Teen",IF(Table1[[#This Row],[Age]]&lt;=21,"Young Adult","Adult"))</f>
        <v>Adult</v>
      </c>
      <c r="N115" t="str">
        <f t="shared" si="5"/>
        <v>High</v>
      </c>
      <c r="O115" t="str">
        <f t="shared" si="6"/>
        <v>High</v>
      </c>
      <c r="P115" t="str">
        <f t="shared" si="7"/>
        <v>Average</v>
      </c>
      <c r="Q115">
        <f t="shared" si="8"/>
        <v>1</v>
      </c>
      <c r="R115" t="str">
        <f t="shared" si="9"/>
        <v>Average</v>
      </c>
      <c r="S115">
        <f>COUNTIF('Students Social Media Addiction'!O:O,"High")/COUNTA(Table1[Student_ID])</f>
        <v>0.5787234042553191</v>
      </c>
      <c r="T115">
        <f>AVERAGE(Table1[Academic Impact Flag])</f>
        <v>0.64255319148936174</v>
      </c>
      <c r="U115">
        <f>AVERAGE(Table1[Sleep_Hours_Per_Night])</f>
        <v>6.868936170212768</v>
      </c>
      <c r="V115">
        <f>AVERAGE(Table1[Mental_Health_Score])</f>
        <v>6.2269503546099294</v>
      </c>
    </row>
    <row r="116" spans="1:22" x14ac:dyDescent="0.3">
      <c r="A116">
        <v>115</v>
      </c>
      <c r="B116">
        <v>20</v>
      </c>
      <c r="C116" t="s">
        <v>18</v>
      </c>
      <c r="D116" t="s">
        <v>13</v>
      </c>
      <c r="E116" t="s">
        <v>137</v>
      </c>
      <c r="F116">
        <v>5.2</v>
      </c>
      <c r="G116" t="s">
        <v>25</v>
      </c>
      <c r="H116" t="s">
        <v>16</v>
      </c>
      <c r="I116">
        <v>6.3</v>
      </c>
      <c r="J116">
        <v>6</v>
      </c>
      <c r="K116" t="s">
        <v>17</v>
      </c>
      <c r="L116">
        <v>7</v>
      </c>
      <c r="M116" t="str">
        <f>IF(Table1[[#This Row],[Age]]&lt;=18,"Teen",IF(Table1[[#This Row],[Age]]&lt;=21,"Young Adult","Adult"))</f>
        <v>Young Adult</v>
      </c>
      <c r="N116" t="str">
        <f t="shared" si="5"/>
        <v>High</v>
      </c>
      <c r="O116" t="str">
        <f t="shared" si="6"/>
        <v>High</v>
      </c>
      <c r="P116" t="str">
        <f t="shared" si="7"/>
        <v>Average</v>
      </c>
      <c r="Q116">
        <f t="shared" si="8"/>
        <v>1</v>
      </c>
      <c r="R116" t="str">
        <f t="shared" si="9"/>
        <v>Average</v>
      </c>
      <c r="S116">
        <f>COUNTIF('Students Social Media Addiction'!O:O,"High")/COUNTA(Table1[Student_ID])</f>
        <v>0.5787234042553191</v>
      </c>
      <c r="T116">
        <f>AVERAGE(Table1[Academic Impact Flag])</f>
        <v>0.64255319148936174</v>
      </c>
      <c r="U116">
        <f>AVERAGE(Table1[Sleep_Hours_Per_Night])</f>
        <v>6.868936170212768</v>
      </c>
      <c r="V116">
        <f>AVERAGE(Table1[Mental_Health_Score])</f>
        <v>6.2269503546099294</v>
      </c>
    </row>
    <row r="117" spans="1:22" x14ac:dyDescent="0.3">
      <c r="A117">
        <v>116</v>
      </c>
      <c r="B117">
        <v>19</v>
      </c>
      <c r="C117" t="s">
        <v>12</v>
      </c>
      <c r="D117" t="s">
        <v>13</v>
      </c>
      <c r="E117" t="s">
        <v>138</v>
      </c>
      <c r="F117">
        <v>4.8</v>
      </c>
      <c r="G117" t="s">
        <v>15</v>
      </c>
      <c r="H117" t="s">
        <v>22</v>
      </c>
      <c r="I117">
        <v>7.2</v>
      </c>
      <c r="J117">
        <v>8</v>
      </c>
      <c r="K117" t="s">
        <v>23</v>
      </c>
      <c r="L117">
        <v>5</v>
      </c>
      <c r="M117" t="str">
        <f>IF(Table1[[#This Row],[Age]]&lt;=18,"Teen",IF(Table1[[#This Row],[Age]]&lt;=21,"Young Adult","Adult"))</f>
        <v>Young Adult</v>
      </c>
      <c r="N117" t="str">
        <f t="shared" si="5"/>
        <v>High</v>
      </c>
      <c r="O117" t="str">
        <f t="shared" si="6"/>
        <v>Medium</v>
      </c>
      <c r="P117" t="str">
        <f t="shared" si="7"/>
        <v>Healthy</v>
      </c>
      <c r="Q117">
        <f t="shared" si="8"/>
        <v>0</v>
      </c>
      <c r="R117" t="str">
        <f t="shared" si="9"/>
        <v>Good</v>
      </c>
      <c r="S117">
        <f>COUNTIF('Students Social Media Addiction'!O:O,"High")/COUNTA(Table1[Student_ID])</f>
        <v>0.5787234042553191</v>
      </c>
      <c r="T117">
        <f>AVERAGE(Table1[Academic Impact Flag])</f>
        <v>0.64255319148936174</v>
      </c>
      <c r="U117">
        <f>AVERAGE(Table1[Sleep_Hours_Per_Night])</f>
        <v>6.868936170212768</v>
      </c>
      <c r="V117">
        <f>AVERAGE(Table1[Mental_Health_Score])</f>
        <v>6.2269503546099294</v>
      </c>
    </row>
    <row r="118" spans="1:22" x14ac:dyDescent="0.3">
      <c r="A118">
        <v>117</v>
      </c>
      <c r="B118">
        <v>21</v>
      </c>
      <c r="C118" t="s">
        <v>18</v>
      </c>
      <c r="D118" t="s">
        <v>19</v>
      </c>
      <c r="E118" t="s">
        <v>14</v>
      </c>
      <c r="F118">
        <v>6</v>
      </c>
      <c r="G118" t="s">
        <v>31</v>
      </c>
      <c r="H118" t="s">
        <v>16</v>
      </c>
      <c r="I118">
        <v>5.8</v>
      </c>
      <c r="J118">
        <v>5</v>
      </c>
      <c r="K118" t="s">
        <v>17</v>
      </c>
      <c r="L118">
        <v>8</v>
      </c>
      <c r="M118" t="str">
        <f>IF(Table1[[#This Row],[Age]]&lt;=18,"Teen",IF(Table1[[#This Row],[Age]]&lt;=21,"Young Adult","Adult"))</f>
        <v>Young Adult</v>
      </c>
      <c r="N118" t="str">
        <f t="shared" si="5"/>
        <v>Very High</v>
      </c>
      <c r="O118" t="str">
        <f t="shared" si="6"/>
        <v>High</v>
      </c>
      <c r="P118" t="str">
        <f t="shared" si="7"/>
        <v>Poor</v>
      </c>
      <c r="Q118">
        <f t="shared" si="8"/>
        <v>1</v>
      </c>
      <c r="R118" t="str">
        <f t="shared" si="9"/>
        <v>Average</v>
      </c>
      <c r="S118">
        <f>COUNTIF('Students Social Media Addiction'!O:O,"High")/COUNTA(Table1[Student_ID])</f>
        <v>0.5787234042553191</v>
      </c>
      <c r="T118">
        <f>AVERAGE(Table1[Academic Impact Flag])</f>
        <v>0.64255319148936174</v>
      </c>
      <c r="U118">
        <f>AVERAGE(Table1[Sleep_Hours_Per_Night])</f>
        <v>6.868936170212768</v>
      </c>
      <c r="V118">
        <f>AVERAGE(Table1[Mental_Health_Score])</f>
        <v>6.2269503546099294</v>
      </c>
    </row>
    <row r="119" spans="1:22" x14ac:dyDescent="0.3">
      <c r="A119">
        <v>118</v>
      </c>
      <c r="B119">
        <v>20</v>
      </c>
      <c r="C119" t="s">
        <v>12</v>
      </c>
      <c r="D119" t="s">
        <v>13</v>
      </c>
      <c r="E119" t="s">
        <v>20</v>
      </c>
      <c r="F119">
        <v>5.7</v>
      </c>
      <c r="G119" t="s">
        <v>15</v>
      </c>
      <c r="H119" t="s">
        <v>16</v>
      </c>
      <c r="I119">
        <v>6.1</v>
      </c>
      <c r="J119">
        <v>6</v>
      </c>
      <c r="K119" t="s">
        <v>23</v>
      </c>
      <c r="L119">
        <v>7</v>
      </c>
      <c r="M119" t="str">
        <f>IF(Table1[[#This Row],[Age]]&lt;=18,"Teen",IF(Table1[[#This Row],[Age]]&lt;=21,"Young Adult","Adult"))</f>
        <v>Young Adult</v>
      </c>
      <c r="N119" t="str">
        <f t="shared" si="5"/>
        <v>High</v>
      </c>
      <c r="O119" t="str">
        <f t="shared" si="6"/>
        <v>High</v>
      </c>
      <c r="P119" t="str">
        <f t="shared" si="7"/>
        <v>Average</v>
      </c>
      <c r="Q119">
        <f t="shared" si="8"/>
        <v>1</v>
      </c>
      <c r="R119" t="str">
        <f t="shared" si="9"/>
        <v>Average</v>
      </c>
      <c r="S119">
        <f>COUNTIF('Students Social Media Addiction'!O:O,"High")/COUNTA(Table1[Student_ID])</f>
        <v>0.5787234042553191</v>
      </c>
      <c r="T119">
        <f>AVERAGE(Table1[Academic Impact Flag])</f>
        <v>0.64255319148936174</v>
      </c>
      <c r="U119">
        <f>AVERAGE(Table1[Sleep_Hours_Per_Night])</f>
        <v>6.868936170212768</v>
      </c>
      <c r="V119">
        <f>AVERAGE(Table1[Mental_Health_Score])</f>
        <v>6.2269503546099294</v>
      </c>
    </row>
    <row r="120" spans="1:22" x14ac:dyDescent="0.3">
      <c r="A120">
        <v>119</v>
      </c>
      <c r="B120">
        <v>22</v>
      </c>
      <c r="C120" t="s">
        <v>18</v>
      </c>
      <c r="D120" t="s">
        <v>19</v>
      </c>
      <c r="E120" t="s">
        <v>135</v>
      </c>
      <c r="F120">
        <v>4.7</v>
      </c>
      <c r="G120" t="s">
        <v>25</v>
      </c>
      <c r="H120" t="s">
        <v>22</v>
      </c>
      <c r="I120">
        <v>7.3</v>
      </c>
      <c r="J120">
        <v>7</v>
      </c>
      <c r="K120" t="s">
        <v>23</v>
      </c>
      <c r="L120">
        <v>5</v>
      </c>
      <c r="M120" t="str">
        <f>IF(Table1[[#This Row],[Age]]&lt;=18,"Teen",IF(Table1[[#This Row],[Age]]&lt;=21,"Young Adult","Adult"))</f>
        <v>Adult</v>
      </c>
      <c r="N120" t="str">
        <f t="shared" si="5"/>
        <v>High</v>
      </c>
      <c r="O120" t="str">
        <f t="shared" si="6"/>
        <v>Medium</v>
      </c>
      <c r="P120" t="str">
        <f t="shared" si="7"/>
        <v>Healthy</v>
      </c>
      <c r="Q120">
        <f t="shared" si="8"/>
        <v>0</v>
      </c>
      <c r="R120" t="str">
        <f t="shared" si="9"/>
        <v>Good</v>
      </c>
      <c r="S120">
        <f>COUNTIF('Students Social Media Addiction'!O:O,"High")/COUNTA(Table1[Student_ID])</f>
        <v>0.5787234042553191</v>
      </c>
      <c r="T120">
        <f>AVERAGE(Table1[Academic Impact Flag])</f>
        <v>0.64255319148936174</v>
      </c>
      <c r="U120">
        <f>AVERAGE(Table1[Sleep_Hours_Per_Night])</f>
        <v>6.868936170212768</v>
      </c>
      <c r="V120">
        <f>AVERAGE(Table1[Mental_Health_Score])</f>
        <v>6.2269503546099294</v>
      </c>
    </row>
    <row r="121" spans="1:22" x14ac:dyDescent="0.3">
      <c r="A121">
        <v>120</v>
      </c>
      <c r="B121">
        <v>19</v>
      </c>
      <c r="C121" t="s">
        <v>12</v>
      </c>
      <c r="D121" t="s">
        <v>13</v>
      </c>
      <c r="E121" t="s">
        <v>134</v>
      </c>
      <c r="F121">
        <v>5.4</v>
      </c>
      <c r="G121" t="s">
        <v>15</v>
      </c>
      <c r="H121" t="s">
        <v>16</v>
      </c>
      <c r="I121">
        <v>6.2</v>
      </c>
      <c r="J121">
        <v>5</v>
      </c>
      <c r="K121" t="s">
        <v>17</v>
      </c>
      <c r="L121">
        <v>8</v>
      </c>
      <c r="M121" t="str">
        <f>IF(Table1[[#This Row],[Age]]&lt;=18,"Teen",IF(Table1[[#This Row],[Age]]&lt;=21,"Young Adult","Adult"))</f>
        <v>Young Adult</v>
      </c>
      <c r="N121" t="str">
        <f t="shared" si="5"/>
        <v>High</v>
      </c>
      <c r="O121" t="str">
        <f t="shared" si="6"/>
        <v>High</v>
      </c>
      <c r="P121" t="str">
        <f t="shared" si="7"/>
        <v>Average</v>
      </c>
      <c r="Q121">
        <f t="shared" si="8"/>
        <v>1</v>
      </c>
      <c r="R121" t="str">
        <f t="shared" si="9"/>
        <v>Average</v>
      </c>
      <c r="S121">
        <f>COUNTIF('Students Social Media Addiction'!O:O,"High")/COUNTA(Table1[Student_ID])</f>
        <v>0.5787234042553191</v>
      </c>
      <c r="T121">
        <f>AVERAGE(Table1[Academic Impact Flag])</f>
        <v>0.64255319148936174</v>
      </c>
      <c r="U121">
        <f>AVERAGE(Table1[Sleep_Hours_Per_Night])</f>
        <v>6.868936170212768</v>
      </c>
      <c r="V121">
        <f>AVERAGE(Table1[Mental_Health_Score])</f>
        <v>6.2269503546099294</v>
      </c>
    </row>
    <row r="122" spans="1:22" x14ac:dyDescent="0.3">
      <c r="A122">
        <v>121</v>
      </c>
      <c r="B122">
        <v>20</v>
      </c>
      <c r="C122" t="s">
        <v>18</v>
      </c>
      <c r="D122" t="s">
        <v>13</v>
      </c>
      <c r="E122" t="s">
        <v>137</v>
      </c>
      <c r="F122">
        <v>5.9</v>
      </c>
      <c r="G122" t="s">
        <v>31</v>
      </c>
      <c r="H122" t="s">
        <v>16</v>
      </c>
      <c r="I122">
        <v>5.9</v>
      </c>
      <c r="J122">
        <v>6</v>
      </c>
      <c r="K122" t="s">
        <v>23</v>
      </c>
      <c r="L122">
        <v>7</v>
      </c>
      <c r="M122" t="str">
        <f>IF(Table1[[#This Row],[Age]]&lt;=18,"Teen",IF(Table1[[#This Row],[Age]]&lt;=21,"Young Adult","Adult"))</f>
        <v>Young Adult</v>
      </c>
      <c r="N122" t="str">
        <f t="shared" si="5"/>
        <v>High</v>
      </c>
      <c r="O122" t="str">
        <f t="shared" si="6"/>
        <v>High</v>
      </c>
      <c r="P122" t="str">
        <f t="shared" si="7"/>
        <v>Poor</v>
      </c>
      <c r="Q122">
        <f t="shared" si="8"/>
        <v>1</v>
      </c>
      <c r="R122" t="str">
        <f t="shared" si="9"/>
        <v>Average</v>
      </c>
      <c r="S122">
        <f>COUNTIF('Students Social Media Addiction'!O:O,"High")/COUNTA(Table1[Student_ID])</f>
        <v>0.5787234042553191</v>
      </c>
      <c r="T122">
        <f>AVERAGE(Table1[Academic Impact Flag])</f>
        <v>0.64255319148936174</v>
      </c>
      <c r="U122">
        <f>AVERAGE(Table1[Sleep_Hours_Per_Night])</f>
        <v>6.868936170212768</v>
      </c>
      <c r="V122">
        <f>AVERAGE(Table1[Mental_Health_Score])</f>
        <v>6.2269503546099294</v>
      </c>
    </row>
    <row r="123" spans="1:22" x14ac:dyDescent="0.3">
      <c r="A123">
        <v>122</v>
      </c>
      <c r="B123">
        <v>21</v>
      </c>
      <c r="C123" t="s">
        <v>12</v>
      </c>
      <c r="D123" t="s">
        <v>19</v>
      </c>
      <c r="E123" t="s">
        <v>138</v>
      </c>
      <c r="F123">
        <v>4.5999999999999996</v>
      </c>
      <c r="G123" t="s">
        <v>15</v>
      </c>
      <c r="H123" t="s">
        <v>22</v>
      </c>
      <c r="I123">
        <v>7.4</v>
      </c>
      <c r="J123">
        <v>8</v>
      </c>
      <c r="K123" t="s">
        <v>17</v>
      </c>
      <c r="L123">
        <v>5</v>
      </c>
      <c r="M123" t="str">
        <f>IF(Table1[[#This Row],[Age]]&lt;=18,"Teen",IF(Table1[[#This Row],[Age]]&lt;=21,"Young Adult","Adult"))</f>
        <v>Young Adult</v>
      </c>
      <c r="N123" t="str">
        <f t="shared" si="5"/>
        <v>High</v>
      </c>
      <c r="O123" t="str">
        <f t="shared" si="6"/>
        <v>Medium</v>
      </c>
      <c r="P123" t="str">
        <f t="shared" si="7"/>
        <v>Healthy</v>
      </c>
      <c r="Q123">
        <f t="shared" si="8"/>
        <v>0</v>
      </c>
      <c r="R123" t="str">
        <f t="shared" si="9"/>
        <v>Good</v>
      </c>
      <c r="S123">
        <f>COUNTIF('Students Social Media Addiction'!O:O,"High")/COUNTA(Table1[Student_ID])</f>
        <v>0.5787234042553191</v>
      </c>
      <c r="T123">
        <f>AVERAGE(Table1[Academic Impact Flag])</f>
        <v>0.64255319148936174</v>
      </c>
      <c r="U123">
        <f>AVERAGE(Table1[Sleep_Hours_Per_Night])</f>
        <v>6.868936170212768</v>
      </c>
      <c r="V123">
        <f>AVERAGE(Table1[Mental_Health_Score])</f>
        <v>6.2269503546099294</v>
      </c>
    </row>
    <row r="124" spans="1:22" x14ac:dyDescent="0.3">
      <c r="A124">
        <v>123</v>
      </c>
      <c r="B124">
        <v>19</v>
      </c>
      <c r="C124" t="s">
        <v>18</v>
      </c>
      <c r="D124" t="s">
        <v>13</v>
      </c>
      <c r="E124" t="s">
        <v>14</v>
      </c>
      <c r="F124">
        <v>5.3</v>
      </c>
      <c r="G124" t="s">
        <v>25</v>
      </c>
      <c r="H124" t="s">
        <v>16</v>
      </c>
      <c r="I124">
        <v>6.3</v>
      </c>
      <c r="J124">
        <v>5</v>
      </c>
      <c r="K124" t="s">
        <v>23</v>
      </c>
      <c r="L124">
        <v>8</v>
      </c>
      <c r="M124" t="str">
        <f>IF(Table1[[#This Row],[Age]]&lt;=18,"Teen",IF(Table1[[#This Row],[Age]]&lt;=21,"Young Adult","Adult"))</f>
        <v>Young Adult</v>
      </c>
      <c r="N124" t="str">
        <f t="shared" si="5"/>
        <v>High</v>
      </c>
      <c r="O124" t="str">
        <f t="shared" si="6"/>
        <v>High</v>
      </c>
      <c r="P124" t="str">
        <f t="shared" si="7"/>
        <v>Average</v>
      </c>
      <c r="Q124">
        <f t="shared" si="8"/>
        <v>1</v>
      </c>
      <c r="R124" t="str">
        <f t="shared" si="9"/>
        <v>Average</v>
      </c>
      <c r="S124">
        <f>COUNTIF('Students Social Media Addiction'!O:O,"High")/COUNTA(Table1[Student_ID])</f>
        <v>0.5787234042553191</v>
      </c>
      <c r="T124">
        <f>AVERAGE(Table1[Academic Impact Flag])</f>
        <v>0.64255319148936174</v>
      </c>
      <c r="U124">
        <f>AVERAGE(Table1[Sleep_Hours_Per_Night])</f>
        <v>6.868936170212768</v>
      </c>
      <c r="V124">
        <f>AVERAGE(Table1[Mental_Health_Score])</f>
        <v>6.2269503546099294</v>
      </c>
    </row>
    <row r="125" spans="1:22" x14ac:dyDescent="0.3">
      <c r="A125">
        <v>124</v>
      </c>
      <c r="B125">
        <v>22</v>
      </c>
      <c r="C125" t="s">
        <v>12</v>
      </c>
      <c r="D125" t="s">
        <v>19</v>
      </c>
      <c r="E125" t="s">
        <v>20</v>
      </c>
      <c r="F125">
        <v>5.8</v>
      </c>
      <c r="G125" t="s">
        <v>15</v>
      </c>
      <c r="H125" t="s">
        <v>16</v>
      </c>
      <c r="I125">
        <v>5.8</v>
      </c>
      <c r="J125">
        <v>6</v>
      </c>
      <c r="K125" t="s">
        <v>17</v>
      </c>
      <c r="L125">
        <v>7</v>
      </c>
      <c r="M125" t="str">
        <f>IF(Table1[[#This Row],[Age]]&lt;=18,"Teen",IF(Table1[[#This Row],[Age]]&lt;=21,"Young Adult","Adult"))</f>
        <v>Adult</v>
      </c>
      <c r="N125" t="str">
        <f t="shared" si="5"/>
        <v>High</v>
      </c>
      <c r="O125" t="str">
        <f t="shared" si="6"/>
        <v>High</v>
      </c>
      <c r="P125" t="str">
        <f t="shared" si="7"/>
        <v>Poor</v>
      </c>
      <c r="Q125">
        <f t="shared" si="8"/>
        <v>1</v>
      </c>
      <c r="R125" t="str">
        <f t="shared" si="9"/>
        <v>Average</v>
      </c>
      <c r="S125">
        <f>COUNTIF('Students Social Media Addiction'!O:O,"High")/COUNTA(Table1[Student_ID])</f>
        <v>0.5787234042553191</v>
      </c>
      <c r="T125">
        <f>AVERAGE(Table1[Academic Impact Flag])</f>
        <v>0.64255319148936174</v>
      </c>
      <c r="U125">
        <f>AVERAGE(Table1[Sleep_Hours_Per_Night])</f>
        <v>6.868936170212768</v>
      </c>
      <c r="V125">
        <f>AVERAGE(Table1[Mental_Health_Score])</f>
        <v>6.2269503546099294</v>
      </c>
    </row>
    <row r="126" spans="1:22" x14ac:dyDescent="0.3">
      <c r="A126">
        <v>125</v>
      </c>
      <c r="B126">
        <v>20</v>
      </c>
      <c r="C126" t="s">
        <v>18</v>
      </c>
      <c r="D126" t="s">
        <v>13</v>
      </c>
      <c r="E126" t="s">
        <v>135</v>
      </c>
      <c r="F126">
        <v>4.5</v>
      </c>
      <c r="G126" t="s">
        <v>31</v>
      </c>
      <c r="H126" t="s">
        <v>22</v>
      </c>
      <c r="I126">
        <v>7.5</v>
      </c>
      <c r="J126">
        <v>7</v>
      </c>
      <c r="K126" t="s">
        <v>23</v>
      </c>
      <c r="L126">
        <v>5</v>
      </c>
      <c r="M126" t="str">
        <f>IF(Table1[[#This Row],[Age]]&lt;=18,"Teen",IF(Table1[[#This Row],[Age]]&lt;=21,"Young Adult","Adult"))</f>
        <v>Young Adult</v>
      </c>
      <c r="N126" t="str">
        <f t="shared" si="5"/>
        <v>High</v>
      </c>
      <c r="O126" t="str">
        <f t="shared" si="6"/>
        <v>Medium</v>
      </c>
      <c r="P126" t="str">
        <f t="shared" si="7"/>
        <v>Healthy</v>
      </c>
      <c r="Q126">
        <f t="shared" si="8"/>
        <v>0</v>
      </c>
      <c r="R126" t="str">
        <f t="shared" si="9"/>
        <v>Good</v>
      </c>
      <c r="S126">
        <f>COUNTIF('Students Social Media Addiction'!O:O,"High")/COUNTA(Table1[Student_ID])</f>
        <v>0.5787234042553191</v>
      </c>
      <c r="T126">
        <f>AVERAGE(Table1[Academic Impact Flag])</f>
        <v>0.64255319148936174</v>
      </c>
      <c r="U126">
        <f>AVERAGE(Table1[Sleep_Hours_Per_Night])</f>
        <v>6.868936170212768</v>
      </c>
      <c r="V126">
        <f>AVERAGE(Table1[Mental_Health_Score])</f>
        <v>6.2269503546099294</v>
      </c>
    </row>
    <row r="127" spans="1:22" x14ac:dyDescent="0.3">
      <c r="A127">
        <v>126</v>
      </c>
      <c r="B127">
        <v>21</v>
      </c>
      <c r="C127" t="s">
        <v>12</v>
      </c>
      <c r="D127" t="s">
        <v>19</v>
      </c>
      <c r="E127" t="s">
        <v>134</v>
      </c>
      <c r="F127">
        <v>5.2</v>
      </c>
      <c r="G127" t="s">
        <v>15</v>
      </c>
      <c r="H127" t="s">
        <v>16</v>
      </c>
      <c r="I127">
        <v>6.4</v>
      </c>
      <c r="J127">
        <v>5</v>
      </c>
      <c r="K127" t="s">
        <v>17</v>
      </c>
      <c r="L127">
        <v>8</v>
      </c>
      <c r="M127" t="str">
        <f>IF(Table1[[#This Row],[Age]]&lt;=18,"Teen",IF(Table1[[#This Row],[Age]]&lt;=21,"Young Adult","Adult"))</f>
        <v>Young Adult</v>
      </c>
      <c r="N127" t="str">
        <f t="shared" si="5"/>
        <v>High</v>
      </c>
      <c r="O127" t="str">
        <f t="shared" si="6"/>
        <v>High</v>
      </c>
      <c r="P127" t="str">
        <f t="shared" si="7"/>
        <v>Average</v>
      </c>
      <c r="Q127">
        <f t="shared" si="8"/>
        <v>1</v>
      </c>
      <c r="R127" t="str">
        <f t="shared" si="9"/>
        <v>Average</v>
      </c>
      <c r="S127">
        <f>COUNTIF('Students Social Media Addiction'!O:O,"High")/COUNTA(Table1[Student_ID])</f>
        <v>0.5787234042553191</v>
      </c>
      <c r="T127">
        <f>AVERAGE(Table1[Academic Impact Flag])</f>
        <v>0.64255319148936174</v>
      </c>
      <c r="U127">
        <f>AVERAGE(Table1[Sleep_Hours_Per_Night])</f>
        <v>6.868936170212768</v>
      </c>
      <c r="V127">
        <f>AVERAGE(Table1[Mental_Health_Score])</f>
        <v>6.2269503546099294</v>
      </c>
    </row>
    <row r="128" spans="1:22" x14ac:dyDescent="0.3">
      <c r="A128">
        <v>127</v>
      </c>
      <c r="B128">
        <v>19</v>
      </c>
      <c r="C128" t="s">
        <v>18</v>
      </c>
      <c r="D128" t="s">
        <v>13</v>
      </c>
      <c r="E128" t="s">
        <v>137</v>
      </c>
      <c r="F128">
        <v>5.7</v>
      </c>
      <c r="G128" t="s">
        <v>25</v>
      </c>
      <c r="H128" t="s">
        <v>16</v>
      </c>
      <c r="I128">
        <v>5.7</v>
      </c>
      <c r="J128">
        <v>6</v>
      </c>
      <c r="K128" t="s">
        <v>23</v>
      </c>
      <c r="L128">
        <v>7</v>
      </c>
      <c r="M128" t="str">
        <f>IF(Table1[[#This Row],[Age]]&lt;=18,"Teen",IF(Table1[[#This Row],[Age]]&lt;=21,"Young Adult","Adult"))</f>
        <v>Young Adult</v>
      </c>
      <c r="N128" t="str">
        <f t="shared" si="5"/>
        <v>High</v>
      </c>
      <c r="O128" t="str">
        <f t="shared" si="6"/>
        <v>High</v>
      </c>
      <c r="P128" t="str">
        <f t="shared" si="7"/>
        <v>Poor</v>
      </c>
      <c r="Q128">
        <f t="shared" si="8"/>
        <v>1</v>
      </c>
      <c r="R128" t="str">
        <f t="shared" si="9"/>
        <v>Average</v>
      </c>
      <c r="S128">
        <f>COUNTIF('Students Social Media Addiction'!O:O,"High")/COUNTA(Table1[Student_ID])</f>
        <v>0.5787234042553191</v>
      </c>
      <c r="T128">
        <f>AVERAGE(Table1[Academic Impact Flag])</f>
        <v>0.64255319148936174</v>
      </c>
      <c r="U128">
        <f>AVERAGE(Table1[Sleep_Hours_Per_Night])</f>
        <v>6.868936170212768</v>
      </c>
      <c r="V128">
        <f>AVERAGE(Table1[Mental_Health_Score])</f>
        <v>6.2269503546099294</v>
      </c>
    </row>
    <row r="129" spans="1:22" x14ac:dyDescent="0.3">
      <c r="A129">
        <v>128</v>
      </c>
      <c r="B129">
        <v>20</v>
      </c>
      <c r="C129" t="s">
        <v>12</v>
      </c>
      <c r="D129" t="s">
        <v>13</v>
      </c>
      <c r="E129" t="s">
        <v>138</v>
      </c>
      <c r="F129">
        <v>4.4000000000000004</v>
      </c>
      <c r="G129" t="s">
        <v>15</v>
      </c>
      <c r="H129" t="s">
        <v>22</v>
      </c>
      <c r="I129">
        <v>7.6</v>
      </c>
      <c r="J129">
        <v>8</v>
      </c>
      <c r="K129" t="s">
        <v>17</v>
      </c>
      <c r="L129">
        <v>5</v>
      </c>
      <c r="M129" t="str">
        <f>IF(Table1[[#This Row],[Age]]&lt;=18,"Teen",IF(Table1[[#This Row],[Age]]&lt;=21,"Young Adult","Adult"))</f>
        <v>Young Adult</v>
      </c>
      <c r="N129" t="str">
        <f t="shared" si="5"/>
        <v>High</v>
      </c>
      <c r="O129" t="str">
        <f t="shared" si="6"/>
        <v>Medium</v>
      </c>
      <c r="P129" t="str">
        <f t="shared" si="7"/>
        <v>Healthy</v>
      </c>
      <c r="Q129">
        <f t="shared" si="8"/>
        <v>0</v>
      </c>
      <c r="R129" t="str">
        <f t="shared" si="9"/>
        <v>Good</v>
      </c>
      <c r="S129">
        <f>COUNTIF('Students Social Media Addiction'!O:O,"High")/COUNTA(Table1[Student_ID])</f>
        <v>0.5787234042553191</v>
      </c>
      <c r="T129">
        <f>AVERAGE(Table1[Academic Impact Flag])</f>
        <v>0.64255319148936174</v>
      </c>
      <c r="U129">
        <f>AVERAGE(Table1[Sleep_Hours_Per_Night])</f>
        <v>6.868936170212768</v>
      </c>
      <c r="V129">
        <f>AVERAGE(Table1[Mental_Health_Score])</f>
        <v>6.2269503546099294</v>
      </c>
    </row>
    <row r="130" spans="1:22" x14ac:dyDescent="0.3">
      <c r="A130">
        <v>129</v>
      </c>
      <c r="B130">
        <v>22</v>
      </c>
      <c r="C130" t="s">
        <v>18</v>
      </c>
      <c r="D130" t="s">
        <v>19</v>
      </c>
      <c r="E130" t="s">
        <v>14</v>
      </c>
      <c r="F130">
        <v>5.0999999999999996</v>
      </c>
      <c r="G130" t="s">
        <v>31</v>
      </c>
      <c r="H130" t="s">
        <v>16</v>
      </c>
      <c r="I130">
        <v>6.5</v>
      </c>
      <c r="J130">
        <v>5</v>
      </c>
      <c r="K130" t="s">
        <v>23</v>
      </c>
      <c r="L130">
        <v>8</v>
      </c>
      <c r="M130" t="str">
        <f>IF(Table1[[#This Row],[Age]]&lt;=18,"Teen",IF(Table1[[#This Row],[Age]]&lt;=21,"Young Adult","Adult"))</f>
        <v>Adult</v>
      </c>
      <c r="N130" t="str">
        <f t="shared" ref="N130:N193" si="10">IF(F130&lt;2,"Low",
IF(F130&lt;4,"Moderate",
IF(F130&lt;6,"High","Very High")))</f>
        <v>High</v>
      </c>
      <c r="O130" t="str">
        <f t="shared" ref="O130:O193" si="11">IF(L130&lt;=3,"Low",
IF(L130&lt;=6,"Medium","High"))</f>
        <v>High</v>
      </c>
      <c r="P130" t="str">
        <f t="shared" ref="P130:P193" si="12">IF(I130&lt;6,"Poor",
IF(I130&lt;=7,"Average","Healthy"))</f>
        <v>Average</v>
      </c>
      <c r="Q130">
        <f t="shared" ref="Q130:Q193" si="13">IF(H130="Yes",1,0)</f>
        <v>1</v>
      </c>
      <c r="R130" t="str">
        <f t="shared" ref="R130:R193" si="14">IF(J130&lt;=4,"Poor",
IF(J130&lt;=6,"Average","Good"))</f>
        <v>Average</v>
      </c>
      <c r="S130">
        <f>COUNTIF('Students Social Media Addiction'!O:O,"High")/COUNTA(Table1[Student_ID])</f>
        <v>0.5787234042553191</v>
      </c>
      <c r="T130">
        <f>AVERAGE(Table1[Academic Impact Flag])</f>
        <v>0.64255319148936174</v>
      </c>
      <c r="U130">
        <f>AVERAGE(Table1[Sleep_Hours_Per_Night])</f>
        <v>6.868936170212768</v>
      </c>
      <c r="V130">
        <f>AVERAGE(Table1[Mental_Health_Score])</f>
        <v>6.2269503546099294</v>
      </c>
    </row>
    <row r="131" spans="1:22" x14ac:dyDescent="0.3">
      <c r="A131">
        <v>130</v>
      </c>
      <c r="B131">
        <v>21</v>
      </c>
      <c r="C131" t="s">
        <v>12</v>
      </c>
      <c r="D131" t="s">
        <v>19</v>
      </c>
      <c r="E131" t="s">
        <v>20</v>
      </c>
      <c r="F131">
        <v>5.6</v>
      </c>
      <c r="G131" t="s">
        <v>15</v>
      </c>
      <c r="H131" t="s">
        <v>16</v>
      </c>
      <c r="I131">
        <v>5.6</v>
      </c>
      <c r="J131">
        <v>6</v>
      </c>
      <c r="K131" t="s">
        <v>17</v>
      </c>
      <c r="L131">
        <v>7</v>
      </c>
      <c r="M131" t="str">
        <f>IF(Table1[[#This Row],[Age]]&lt;=18,"Teen",IF(Table1[[#This Row],[Age]]&lt;=21,"Young Adult","Adult"))</f>
        <v>Young Adult</v>
      </c>
      <c r="N131" t="str">
        <f t="shared" si="10"/>
        <v>High</v>
      </c>
      <c r="O131" t="str">
        <f t="shared" si="11"/>
        <v>High</v>
      </c>
      <c r="P131" t="str">
        <f t="shared" si="12"/>
        <v>Poor</v>
      </c>
      <c r="Q131">
        <f t="shared" si="13"/>
        <v>1</v>
      </c>
      <c r="R131" t="str">
        <f t="shared" si="14"/>
        <v>Average</v>
      </c>
      <c r="S131">
        <f>COUNTIF('Students Social Media Addiction'!O:O,"High")/COUNTA(Table1[Student_ID])</f>
        <v>0.5787234042553191</v>
      </c>
      <c r="T131">
        <f>AVERAGE(Table1[Academic Impact Flag])</f>
        <v>0.64255319148936174</v>
      </c>
      <c r="U131">
        <f>AVERAGE(Table1[Sleep_Hours_Per_Night])</f>
        <v>6.868936170212768</v>
      </c>
      <c r="V131">
        <f>AVERAGE(Table1[Mental_Health_Score])</f>
        <v>6.2269503546099294</v>
      </c>
    </row>
    <row r="132" spans="1:22" x14ac:dyDescent="0.3">
      <c r="A132">
        <v>131</v>
      </c>
      <c r="B132">
        <v>19</v>
      </c>
      <c r="C132" t="s">
        <v>18</v>
      </c>
      <c r="D132" t="s">
        <v>13</v>
      </c>
      <c r="E132" t="s">
        <v>135</v>
      </c>
      <c r="F132">
        <v>4.3</v>
      </c>
      <c r="G132" t="s">
        <v>25</v>
      </c>
      <c r="H132" t="s">
        <v>22</v>
      </c>
      <c r="I132">
        <v>7.7</v>
      </c>
      <c r="J132">
        <v>7</v>
      </c>
      <c r="K132" t="s">
        <v>23</v>
      </c>
      <c r="L132">
        <v>5</v>
      </c>
      <c r="M132" t="str">
        <f>IF(Table1[[#This Row],[Age]]&lt;=18,"Teen",IF(Table1[[#This Row],[Age]]&lt;=21,"Young Adult","Adult"))</f>
        <v>Young Adult</v>
      </c>
      <c r="N132" t="str">
        <f t="shared" si="10"/>
        <v>High</v>
      </c>
      <c r="O132" t="str">
        <f t="shared" si="11"/>
        <v>Medium</v>
      </c>
      <c r="P132" t="str">
        <f t="shared" si="12"/>
        <v>Healthy</v>
      </c>
      <c r="Q132">
        <f t="shared" si="13"/>
        <v>0</v>
      </c>
      <c r="R132" t="str">
        <f t="shared" si="14"/>
        <v>Good</v>
      </c>
      <c r="S132">
        <f>COUNTIF('Students Social Media Addiction'!O:O,"High")/COUNTA(Table1[Student_ID])</f>
        <v>0.5787234042553191</v>
      </c>
      <c r="T132">
        <f>AVERAGE(Table1[Academic Impact Flag])</f>
        <v>0.64255319148936174</v>
      </c>
      <c r="U132">
        <f>AVERAGE(Table1[Sleep_Hours_Per_Night])</f>
        <v>6.868936170212768</v>
      </c>
      <c r="V132">
        <f>AVERAGE(Table1[Mental_Health_Score])</f>
        <v>6.2269503546099294</v>
      </c>
    </row>
    <row r="133" spans="1:22" x14ac:dyDescent="0.3">
      <c r="A133">
        <v>132</v>
      </c>
      <c r="B133">
        <v>20</v>
      </c>
      <c r="C133" t="s">
        <v>12</v>
      </c>
      <c r="D133" t="s">
        <v>13</v>
      </c>
      <c r="E133" t="s">
        <v>134</v>
      </c>
      <c r="F133">
        <v>5</v>
      </c>
      <c r="G133" t="s">
        <v>15</v>
      </c>
      <c r="H133" t="s">
        <v>16</v>
      </c>
      <c r="I133">
        <v>6.6</v>
      </c>
      <c r="J133">
        <v>5</v>
      </c>
      <c r="K133" t="s">
        <v>17</v>
      </c>
      <c r="L133">
        <v>8</v>
      </c>
      <c r="M133" t="str">
        <f>IF(Table1[[#This Row],[Age]]&lt;=18,"Teen",IF(Table1[[#This Row],[Age]]&lt;=21,"Young Adult","Adult"))</f>
        <v>Young Adult</v>
      </c>
      <c r="N133" t="str">
        <f t="shared" si="10"/>
        <v>High</v>
      </c>
      <c r="O133" t="str">
        <f t="shared" si="11"/>
        <v>High</v>
      </c>
      <c r="P133" t="str">
        <f t="shared" si="12"/>
        <v>Average</v>
      </c>
      <c r="Q133">
        <f t="shared" si="13"/>
        <v>1</v>
      </c>
      <c r="R133" t="str">
        <f t="shared" si="14"/>
        <v>Average</v>
      </c>
      <c r="S133">
        <f>COUNTIF('Students Social Media Addiction'!O:O,"High")/COUNTA(Table1[Student_ID])</f>
        <v>0.5787234042553191</v>
      </c>
      <c r="T133">
        <f>AVERAGE(Table1[Academic Impact Flag])</f>
        <v>0.64255319148936174</v>
      </c>
      <c r="U133">
        <f>AVERAGE(Table1[Sleep_Hours_Per_Night])</f>
        <v>6.868936170212768</v>
      </c>
      <c r="V133">
        <f>AVERAGE(Table1[Mental_Health_Score])</f>
        <v>6.2269503546099294</v>
      </c>
    </row>
    <row r="134" spans="1:22" x14ac:dyDescent="0.3">
      <c r="A134">
        <v>133</v>
      </c>
      <c r="B134">
        <v>22</v>
      </c>
      <c r="C134" t="s">
        <v>18</v>
      </c>
      <c r="D134" t="s">
        <v>19</v>
      </c>
      <c r="E134" t="s">
        <v>137</v>
      </c>
      <c r="F134">
        <v>5.5</v>
      </c>
      <c r="G134" t="s">
        <v>31</v>
      </c>
      <c r="H134" t="s">
        <v>16</v>
      </c>
      <c r="I134">
        <v>5.5</v>
      </c>
      <c r="J134">
        <v>6</v>
      </c>
      <c r="K134" t="s">
        <v>23</v>
      </c>
      <c r="L134">
        <v>7</v>
      </c>
      <c r="M134" t="str">
        <f>IF(Table1[[#This Row],[Age]]&lt;=18,"Teen",IF(Table1[[#This Row],[Age]]&lt;=21,"Young Adult","Adult"))</f>
        <v>Adult</v>
      </c>
      <c r="N134" t="str">
        <f t="shared" si="10"/>
        <v>High</v>
      </c>
      <c r="O134" t="str">
        <f t="shared" si="11"/>
        <v>High</v>
      </c>
      <c r="P134" t="str">
        <f t="shared" si="12"/>
        <v>Poor</v>
      </c>
      <c r="Q134">
        <f t="shared" si="13"/>
        <v>1</v>
      </c>
      <c r="R134" t="str">
        <f t="shared" si="14"/>
        <v>Average</v>
      </c>
      <c r="S134">
        <f>COUNTIF('Students Social Media Addiction'!O:O,"High")/COUNTA(Table1[Student_ID])</f>
        <v>0.5787234042553191</v>
      </c>
      <c r="T134">
        <f>AVERAGE(Table1[Academic Impact Flag])</f>
        <v>0.64255319148936174</v>
      </c>
      <c r="U134">
        <f>AVERAGE(Table1[Sleep_Hours_Per_Night])</f>
        <v>6.868936170212768</v>
      </c>
      <c r="V134">
        <f>AVERAGE(Table1[Mental_Health_Score])</f>
        <v>6.2269503546099294</v>
      </c>
    </row>
    <row r="135" spans="1:22" x14ac:dyDescent="0.3">
      <c r="A135">
        <v>134</v>
      </c>
      <c r="B135">
        <v>21</v>
      </c>
      <c r="C135" t="s">
        <v>12</v>
      </c>
      <c r="D135" t="s">
        <v>19</v>
      </c>
      <c r="E135" t="s">
        <v>138</v>
      </c>
      <c r="F135">
        <v>4.2</v>
      </c>
      <c r="G135" t="s">
        <v>15</v>
      </c>
      <c r="H135" t="s">
        <v>22</v>
      </c>
      <c r="I135">
        <v>7.8</v>
      </c>
      <c r="J135">
        <v>8</v>
      </c>
      <c r="K135" t="s">
        <v>17</v>
      </c>
      <c r="L135">
        <v>5</v>
      </c>
      <c r="M135" t="str">
        <f>IF(Table1[[#This Row],[Age]]&lt;=18,"Teen",IF(Table1[[#This Row],[Age]]&lt;=21,"Young Adult","Adult"))</f>
        <v>Young Adult</v>
      </c>
      <c r="N135" t="str">
        <f t="shared" si="10"/>
        <v>High</v>
      </c>
      <c r="O135" t="str">
        <f t="shared" si="11"/>
        <v>Medium</v>
      </c>
      <c r="P135" t="str">
        <f t="shared" si="12"/>
        <v>Healthy</v>
      </c>
      <c r="Q135">
        <f t="shared" si="13"/>
        <v>0</v>
      </c>
      <c r="R135" t="str">
        <f t="shared" si="14"/>
        <v>Good</v>
      </c>
      <c r="S135">
        <f>COUNTIF('Students Social Media Addiction'!O:O,"High")/COUNTA(Table1[Student_ID])</f>
        <v>0.5787234042553191</v>
      </c>
      <c r="T135">
        <f>AVERAGE(Table1[Academic Impact Flag])</f>
        <v>0.64255319148936174</v>
      </c>
      <c r="U135">
        <f>AVERAGE(Table1[Sleep_Hours_Per_Night])</f>
        <v>6.868936170212768</v>
      </c>
      <c r="V135">
        <f>AVERAGE(Table1[Mental_Health_Score])</f>
        <v>6.2269503546099294</v>
      </c>
    </row>
    <row r="136" spans="1:22" x14ac:dyDescent="0.3">
      <c r="A136">
        <v>135</v>
      </c>
      <c r="B136">
        <v>19</v>
      </c>
      <c r="C136" t="s">
        <v>18</v>
      </c>
      <c r="D136" t="s">
        <v>13</v>
      </c>
      <c r="E136" t="s">
        <v>14</v>
      </c>
      <c r="F136">
        <v>4.9000000000000004</v>
      </c>
      <c r="G136" t="s">
        <v>25</v>
      </c>
      <c r="H136" t="s">
        <v>16</v>
      </c>
      <c r="I136">
        <v>6.7</v>
      </c>
      <c r="J136">
        <v>5</v>
      </c>
      <c r="K136" t="s">
        <v>23</v>
      </c>
      <c r="L136">
        <v>8</v>
      </c>
      <c r="M136" t="str">
        <f>IF(Table1[[#This Row],[Age]]&lt;=18,"Teen",IF(Table1[[#This Row],[Age]]&lt;=21,"Young Adult","Adult"))</f>
        <v>Young Adult</v>
      </c>
      <c r="N136" t="str">
        <f t="shared" si="10"/>
        <v>High</v>
      </c>
      <c r="O136" t="str">
        <f t="shared" si="11"/>
        <v>High</v>
      </c>
      <c r="P136" t="str">
        <f t="shared" si="12"/>
        <v>Average</v>
      </c>
      <c r="Q136">
        <f t="shared" si="13"/>
        <v>1</v>
      </c>
      <c r="R136" t="str">
        <f t="shared" si="14"/>
        <v>Average</v>
      </c>
      <c r="S136">
        <f>COUNTIF('Students Social Media Addiction'!O:O,"High")/COUNTA(Table1[Student_ID])</f>
        <v>0.5787234042553191</v>
      </c>
      <c r="T136">
        <f>AVERAGE(Table1[Academic Impact Flag])</f>
        <v>0.64255319148936174</v>
      </c>
      <c r="U136">
        <f>AVERAGE(Table1[Sleep_Hours_Per_Night])</f>
        <v>6.868936170212768</v>
      </c>
      <c r="V136">
        <f>AVERAGE(Table1[Mental_Health_Score])</f>
        <v>6.2269503546099294</v>
      </c>
    </row>
    <row r="137" spans="1:22" x14ac:dyDescent="0.3">
      <c r="A137">
        <v>136</v>
      </c>
      <c r="B137">
        <v>20</v>
      </c>
      <c r="C137" t="s">
        <v>12</v>
      </c>
      <c r="D137" t="s">
        <v>13</v>
      </c>
      <c r="E137" t="s">
        <v>20</v>
      </c>
      <c r="F137">
        <v>5.4</v>
      </c>
      <c r="G137" t="s">
        <v>15</v>
      </c>
      <c r="H137" t="s">
        <v>16</v>
      </c>
      <c r="I137">
        <v>5.4</v>
      </c>
      <c r="J137">
        <v>6</v>
      </c>
      <c r="K137" t="s">
        <v>17</v>
      </c>
      <c r="L137">
        <v>7</v>
      </c>
      <c r="M137" t="str">
        <f>IF(Table1[[#This Row],[Age]]&lt;=18,"Teen",IF(Table1[[#This Row],[Age]]&lt;=21,"Young Adult","Adult"))</f>
        <v>Young Adult</v>
      </c>
      <c r="N137" t="str">
        <f t="shared" si="10"/>
        <v>High</v>
      </c>
      <c r="O137" t="str">
        <f t="shared" si="11"/>
        <v>High</v>
      </c>
      <c r="P137" t="str">
        <f t="shared" si="12"/>
        <v>Poor</v>
      </c>
      <c r="Q137">
        <f t="shared" si="13"/>
        <v>1</v>
      </c>
      <c r="R137" t="str">
        <f t="shared" si="14"/>
        <v>Average</v>
      </c>
      <c r="S137">
        <f>COUNTIF('Students Social Media Addiction'!O:O,"High")/COUNTA(Table1[Student_ID])</f>
        <v>0.5787234042553191</v>
      </c>
      <c r="T137">
        <f>AVERAGE(Table1[Academic Impact Flag])</f>
        <v>0.64255319148936174</v>
      </c>
      <c r="U137">
        <f>AVERAGE(Table1[Sleep_Hours_Per_Night])</f>
        <v>6.868936170212768</v>
      </c>
      <c r="V137">
        <f>AVERAGE(Table1[Mental_Health_Score])</f>
        <v>6.2269503546099294</v>
      </c>
    </row>
    <row r="138" spans="1:22" x14ac:dyDescent="0.3">
      <c r="A138">
        <v>137</v>
      </c>
      <c r="B138">
        <v>22</v>
      </c>
      <c r="C138" t="s">
        <v>18</v>
      </c>
      <c r="D138" t="s">
        <v>19</v>
      </c>
      <c r="E138" t="s">
        <v>135</v>
      </c>
      <c r="F138">
        <v>4.0999999999999996</v>
      </c>
      <c r="G138" t="s">
        <v>31</v>
      </c>
      <c r="H138" t="s">
        <v>22</v>
      </c>
      <c r="I138">
        <v>7.9</v>
      </c>
      <c r="J138">
        <v>7</v>
      </c>
      <c r="K138" t="s">
        <v>23</v>
      </c>
      <c r="L138">
        <v>5</v>
      </c>
      <c r="M138" t="str">
        <f>IF(Table1[[#This Row],[Age]]&lt;=18,"Teen",IF(Table1[[#This Row],[Age]]&lt;=21,"Young Adult","Adult"))</f>
        <v>Adult</v>
      </c>
      <c r="N138" t="str">
        <f t="shared" si="10"/>
        <v>High</v>
      </c>
      <c r="O138" t="str">
        <f t="shared" si="11"/>
        <v>Medium</v>
      </c>
      <c r="P138" t="str">
        <f t="shared" si="12"/>
        <v>Healthy</v>
      </c>
      <c r="Q138">
        <f t="shared" si="13"/>
        <v>0</v>
      </c>
      <c r="R138" t="str">
        <f t="shared" si="14"/>
        <v>Good</v>
      </c>
      <c r="S138">
        <f>COUNTIF('Students Social Media Addiction'!O:O,"High")/COUNTA(Table1[Student_ID])</f>
        <v>0.5787234042553191</v>
      </c>
      <c r="T138">
        <f>AVERAGE(Table1[Academic Impact Flag])</f>
        <v>0.64255319148936174</v>
      </c>
      <c r="U138">
        <f>AVERAGE(Table1[Sleep_Hours_Per_Night])</f>
        <v>6.868936170212768</v>
      </c>
      <c r="V138">
        <f>AVERAGE(Table1[Mental_Health_Score])</f>
        <v>6.2269503546099294</v>
      </c>
    </row>
    <row r="139" spans="1:22" x14ac:dyDescent="0.3">
      <c r="A139">
        <v>138</v>
      </c>
      <c r="B139">
        <v>21</v>
      </c>
      <c r="C139" t="s">
        <v>12</v>
      </c>
      <c r="D139" t="s">
        <v>19</v>
      </c>
      <c r="E139" t="s">
        <v>134</v>
      </c>
      <c r="F139">
        <v>4.8</v>
      </c>
      <c r="G139" t="s">
        <v>15</v>
      </c>
      <c r="H139" t="s">
        <v>16</v>
      </c>
      <c r="I139">
        <v>6.8</v>
      </c>
      <c r="J139">
        <v>5</v>
      </c>
      <c r="K139" t="s">
        <v>17</v>
      </c>
      <c r="L139">
        <v>8</v>
      </c>
      <c r="M139" t="str">
        <f>IF(Table1[[#This Row],[Age]]&lt;=18,"Teen",IF(Table1[[#This Row],[Age]]&lt;=21,"Young Adult","Adult"))</f>
        <v>Young Adult</v>
      </c>
      <c r="N139" t="str">
        <f t="shared" si="10"/>
        <v>High</v>
      </c>
      <c r="O139" t="str">
        <f t="shared" si="11"/>
        <v>High</v>
      </c>
      <c r="P139" t="str">
        <f t="shared" si="12"/>
        <v>Average</v>
      </c>
      <c r="Q139">
        <f t="shared" si="13"/>
        <v>1</v>
      </c>
      <c r="R139" t="str">
        <f t="shared" si="14"/>
        <v>Average</v>
      </c>
      <c r="S139">
        <f>COUNTIF('Students Social Media Addiction'!O:O,"High")/COUNTA(Table1[Student_ID])</f>
        <v>0.5787234042553191</v>
      </c>
      <c r="T139">
        <f>AVERAGE(Table1[Academic Impact Flag])</f>
        <v>0.64255319148936174</v>
      </c>
      <c r="U139">
        <f>AVERAGE(Table1[Sleep_Hours_Per_Night])</f>
        <v>6.868936170212768</v>
      </c>
      <c r="V139">
        <f>AVERAGE(Table1[Mental_Health_Score])</f>
        <v>6.2269503546099294</v>
      </c>
    </row>
    <row r="140" spans="1:22" x14ac:dyDescent="0.3">
      <c r="A140">
        <v>139</v>
      </c>
      <c r="B140">
        <v>19</v>
      </c>
      <c r="C140" t="s">
        <v>18</v>
      </c>
      <c r="D140" t="s">
        <v>13</v>
      </c>
      <c r="E140" t="s">
        <v>137</v>
      </c>
      <c r="F140">
        <v>5.3</v>
      </c>
      <c r="G140" t="s">
        <v>25</v>
      </c>
      <c r="H140" t="s">
        <v>16</v>
      </c>
      <c r="I140">
        <v>5.3</v>
      </c>
      <c r="J140">
        <v>6</v>
      </c>
      <c r="K140" t="s">
        <v>23</v>
      </c>
      <c r="L140">
        <v>7</v>
      </c>
      <c r="M140" t="str">
        <f>IF(Table1[[#This Row],[Age]]&lt;=18,"Teen",IF(Table1[[#This Row],[Age]]&lt;=21,"Young Adult","Adult"))</f>
        <v>Young Adult</v>
      </c>
      <c r="N140" t="str">
        <f t="shared" si="10"/>
        <v>High</v>
      </c>
      <c r="O140" t="str">
        <f t="shared" si="11"/>
        <v>High</v>
      </c>
      <c r="P140" t="str">
        <f t="shared" si="12"/>
        <v>Poor</v>
      </c>
      <c r="Q140">
        <f t="shared" si="13"/>
        <v>1</v>
      </c>
      <c r="R140" t="str">
        <f t="shared" si="14"/>
        <v>Average</v>
      </c>
      <c r="S140">
        <f>COUNTIF('Students Social Media Addiction'!O:O,"High")/COUNTA(Table1[Student_ID])</f>
        <v>0.5787234042553191</v>
      </c>
      <c r="T140">
        <f>AVERAGE(Table1[Academic Impact Flag])</f>
        <v>0.64255319148936174</v>
      </c>
      <c r="U140">
        <f>AVERAGE(Table1[Sleep_Hours_Per_Night])</f>
        <v>6.868936170212768</v>
      </c>
      <c r="V140">
        <f>AVERAGE(Table1[Mental_Health_Score])</f>
        <v>6.2269503546099294</v>
      </c>
    </row>
    <row r="141" spans="1:22" x14ac:dyDescent="0.3">
      <c r="A141">
        <v>140</v>
      </c>
      <c r="B141">
        <v>20</v>
      </c>
      <c r="C141" t="s">
        <v>12</v>
      </c>
      <c r="D141" t="s">
        <v>13</v>
      </c>
      <c r="E141" t="s">
        <v>138</v>
      </c>
      <c r="F141">
        <v>4</v>
      </c>
      <c r="G141" t="s">
        <v>15</v>
      </c>
      <c r="H141" t="s">
        <v>22</v>
      </c>
      <c r="I141">
        <v>8</v>
      </c>
      <c r="J141">
        <v>8</v>
      </c>
      <c r="K141" t="s">
        <v>17</v>
      </c>
      <c r="L141">
        <v>5</v>
      </c>
      <c r="M141" t="str">
        <f>IF(Table1[[#This Row],[Age]]&lt;=18,"Teen",IF(Table1[[#This Row],[Age]]&lt;=21,"Young Adult","Adult"))</f>
        <v>Young Adult</v>
      </c>
      <c r="N141" t="str">
        <f t="shared" si="10"/>
        <v>High</v>
      </c>
      <c r="O141" t="str">
        <f t="shared" si="11"/>
        <v>Medium</v>
      </c>
      <c r="P141" t="str">
        <f t="shared" si="12"/>
        <v>Healthy</v>
      </c>
      <c r="Q141">
        <f t="shared" si="13"/>
        <v>0</v>
      </c>
      <c r="R141" t="str">
        <f t="shared" si="14"/>
        <v>Good</v>
      </c>
      <c r="S141">
        <f>COUNTIF('Students Social Media Addiction'!O:O,"High")/COUNTA(Table1[Student_ID])</f>
        <v>0.5787234042553191</v>
      </c>
      <c r="T141">
        <f>AVERAGE(Table1[Academic Impact Flag])</f>
        <v>0.64255319148936174</v>
      </c>
      <c r="U141">
        <f>AVERAGE(Table1[Sleep_Hours_Per_Night])</f>
        <v>6.868936170212768</v>
      </c>
      <c r="V141">
        <f>AVERAGE(Table1[Mental_Health_Score])</f>
        <v>6.2269503546099294</v>
      </c>
    </row>
    <row r="142" spans="1:22" x14ac:dyDescent="0.3">
      <c r="A142">
        <v>141</v>
      </c>
      <c r="B142">
        <v>22</v>
      </c>
      <c r="C142" t="s">
        <v>18</v>
      </c>
      <c r="D142" t="s">
        <v>19</v>
      </c>
      <c r="E142" t="s">
        <v>14</v>
      </c>
      <c r="F142">
        <v>4.7</v>
      </c>
      <c r="G142" t="s">
        <v>31</v>
      </c>
      <c r="H142" t="s">
        <v>16</v>
      </c>
      <c r="I142">
        <v>6.9</v>
      </c>
      <c r="J142">
        <v>5</v>
      </c>
      <c r="K142" t="s">
        <v>23</v>
      </c>
      <c r="L142">
        <v>8</v>
      </c>
      <c r="M142" t="str">
        <f>IF(Table1[[#This Row],[Age]]&lt;=18,"Teen",IF(Table1[[#This Row],[Age]]&lt;=21,"Young Adult","Adult"))</f>
        <v>Adult</v>
      </c>
      <c r="N142" t="str">
        <f t="shared" si="10"/>
        <v>High</v>
      </c>
      <c r="O142" t="str">
        <f t="shared" si="11"/>
        <v>High</v>
      </c>
      <c r="P142" t="str">
        <f t="shared" si="12"/>
        <v>Average</v>
      </c>
      <c r="Q142">
        <f t="shared" si="13"/>
        <v>1</v>
      </c>
      <c r="R142" t="str">
        <f t="shared" si="14"/>
        <v>Average</v>
      </c>
      <c r="S142">
        <f>COUNTIF('Students Social Media Addiction'!O:O,"High")/COUNTA(Table1[Student_ID])</f>
        <v>0.5787234042553191</v>
      </c>
      <c r="T142">
        <f>AVERAGE(Table1[Academic Impact Flag])</f>
        <v>0.64255319148936174</v>
      </c>
      <c r="U142">
        <f>AVERAGE(Table1[Sleep_Hours_Per_Night])</f>
        <v>6.868936170212768</v>
      </c>
      <c r="V142">
        <f>AVERAGE(Table1[Mental_Health_Score])</f>
        <v>6.2269503546099294</v>
      </c>
    </row>
    <row r="143" spans="1:22" x14ac:dyDescent="0.3">
      <c r="A143">
        <v>142</v>
      </c>
      <c r="B143">
        <v>21</v>
      </c>
      <c r="C143" t="s">
        <v>12</v>
      </c>
      <c r="D143" t="s">
        <v>19</v>
      </c>
      <c r="E143" t="s">
        <v>20</v>
      </c>
      <c r="F143">
        <v>5.2</v>
      </c>
      <c r="G143" t="s">
        <v>15</v>
      </c>
      <c r="H143" t="s">
        <v>16</v>
      </c>
      <c r="I143">
        <v>5.2</v>
      </c>
      <c r="J143">
        <v>6</v>
      </c>
      <c r="K143" t="s">
        <v>17</v>
      </c>
      <c r="L143">
        <v>7</v>
      </c>
      <c r="M143" t="str">
        <f>IF(Table1[[#This Row],[Age]]&lt;=18,"Teen",IF(Table1[[#This Row],[Age]]&lt;=21,"Young Adult","Adult"))</f>
        <v>Young Adult</v>
      </c>
      <c r="N143" t="str">
        <f t="shared" si="10"/>
        <v>High</v>
      </c>
      <c r="O143" t="str">
        <f t="shared" si="11"/>
        <v>High</v>
      </c>
      <c r="P143" t="str">
        <f t="shared" si="12"/>
        <v>Poor</v>
      </c>
      <c r="Q143">
        <f t="shared" si="13"/>
        <v>1</v>
      </c>
      <c r="R143" t="str">
        <f t="shared" si="14"/>
        <v>Average</v>
      </c>
      <c r="S143">
        <f>COUNTIF('Students Social Media Addiction'!O:O,"High")/COUNTA(Table1[Student_ID])</f>
        <v>0.5787234042553191</v>
      </c>
      <c r="T143">
        <f>AVERAGE(Table1[Academic Impact Flag])</f>
        <v>0.64255319148936174</v>
      </c>
      <c r="U143">
        <f>AVERAGE(Table1[Sleep_Hours_Per_Night])</f>
        <v>6.868936170212768</v>
      </c>
      <c r="V143">
        <f>AVERAGE(Table1[Mental_Health_Score])</f>
        <v>6.2269503546099294</v>
      </c>
    </row>
    <row r="144" spans="1:22" x14ac:dyDescent="0.3">
      <c r="A144">
        <v>143</v>
      </c>
      <c r="B144">
        <v>19</v>
      </c>
      <c r="C144" t="s">
        <v>18</v>
      </c>
      <c r="D144" t="s">
        <v>13</v>
      </c>
      <c r="E144" t="s">
        <v>135</v>
      </c>
      <c r="F144">
        <v>3.9</v>
      </c>
      <c r="G144" t="s">
        <v>25</v>
      </c>
      <c r="H144" t="s">
        <v>22</v>
      </c>
      <c r="I144">
        <v>8.1</v>
      </c>
      <c r="J144">
        <v>7</v>
      </c>
      <c r="K144" t="s">
        <v>23</v>
      </c>
      <c r="L144">
        <v>5</v>
      </c>
      <c r="M144" t="str">
        <f>IF(Table1[[#This Row],[Age]]&lt;=18,"Teen",IF(Table1[[#This Row],[Age]]&lt;=21,"Young Adult","Adult"))</f>
        <v>Young Adult</v>
      </c>
      <c r="N144" t="str">
        <f t="shared" si="10"/>
        <v>Moderate</v>
      </c>
      <c r="O144" t="str">
        <f t="shared" si="11"/>
        <v>Medium</v>
      </c>
      <c r="P144" t="str">
        <f t="shared" si="12"/>
        <v>Healthy</v>
      </c>
      <c r="Q144">
        <f t="shared" si="13"/>
        <v>0</v>
      </c>
      <c r="R144" t="str">
        <f t="shared" si="14"/>
        <v>Good</v>
      </c>
      <c r="S144">
        <f>COUNTIF('Students Social Media Addiction'!O:O,"High")/COUNTA(Table1[Student_ID])</f>
        <v>0.5787234042553191</v>
      </c>
      <c r="T144">
        <f>AVERAGE(Table1[Academic Impact Flag])</f>
        <v>0.64255319148936174</v>
      </c>
      <c r="U144">
        <f>AVERAGE(Table1[Sleep_Hours_Per_Night])</f>
        <v>6.868936170212768</v>
      </c>
      <c r="V144">
        <f>AVERAGE(Table1[Mental_Health_Score])</f>
        <v>6.2269503546099294</v>
      </c>
    </row>
    <row r="145" spans="1:22" x14ac:dyDescent="0.3">
      <c r="A145">
        <v>144</v>
      </c>
      <c r="B145">
        <v>20</v>
      </c>
      <c r="C145" t="s">
        <v>12</v>
      </c>
      <c r="D145" t="s">
        <v>13</v>
      </c>
      <c r="E145" t="s">
        <v>134</v>
      </c>
      <c r="F145">
        <v>4.5999999999999996</v>
      </c>
      <c r="G145" t="s">
        <v>15</v>
      </c>
      <c r="H145" t="s">
        <v>16</v>
      </c>
      <c r="I145">
        <v>7</v>
      </c>
      <c r="J145">
        <v>5</v>
      </c>
      <c r="K145" t="s">
        <v>17</v>
      </c>
      <c r="L145">
        <v>8</v>
      </c>
      <c r="M145" t="str">
        <f>IF(Table1[[#This Row],[Age]]&lt;=18,"Teen",IF(Table1[[#This Row],[Age]]&lt;=21,"Young Adult","Adult"))</f>
        <v>Young Adult</v>
      </c>
      <c r="N145" t="str">
        <f t="shared" si="10"/>
        <v>High</v>
      </c>
      <c r="O145" t="str">
        <f t="shared" si="11"/>
        <v>High</v>
      </c>
      <c r="P145" t="str">
        <f t="shared" si="12"/>
        <v>Average</v>
      </c>
      <c r="Q145">
        <f t="shared" si="13"/>
        <v>1</v>
      </c>
      <c r="R145" t="str">
        <f t="shared" si="14"/>
        <v>Average</v>
      </c>
      <c r="S145">
        <f>COUNTIF('Students Social Media Addiction'!O:O,"High")/COUNTA(Table1[Student_ID])</f>
        <v>0.5787234042553191</v>
      </c>
      <c r="T145">
        <f>AVERAGE(Table1[Academic Impact Flag])</f>
        <v>0.64255319148936174</v>
      </c>
      <c r="U145">
        <f>AVERAGE(Table1[Sleep_Hours_Per_Night])</f>
        <v>6.868936170212768</v>
      </c>
      <c r="V145">
        <f>AVERAGE(Table1[Mental_Health_Score])</f>
        <v>6.2269503546099294</v>
      </c>
    </row>
    <row r="146" spans="1:22" x14ac:dyDescent="0.3">
      <c r="A146">
        <v>145</v>
      </c>
      <c r="B146">
        <v>22</v>
      </c>
      <c r="C146" t="s">
        <v>18</v>
      </c>
      <c r="D146" t="s">
        <v>19</v>
      </c>
      <c r="E146" t="s">
        <v>137</v>
      </c>
      <c r="F146">
        <v>5.0999999999999996</v>
      </c>
      <c r="G146" t="s">
        <v>31</v>
      </c>
      <c r="H146" t="s">
        <v>16</v>
      </c>
      <c r="I146">
        <v>5.0999999999999996</v>
      </c>
      <c r="J146">
        <v>6</v>
      </c>
      <c r="K146" t="s">
        <v>23</v>
      </c>
      <c r="L146">
        <v>7</v>
      </c>
      <c r="M146" t="str">
        <f>IF(Table1[[#This Row],[Age]]&lt;=18,"Teen",IF(Table1[[#This Row],[Age]]&lt;=21,"Young Adult","Adult"))</f>
        <v>Adult</v>
      </c>
      <c r="N146" t="str">
        <f t="shared" si="10"/>
        <v>High</v>
      </c>
      <c r="O146" t="str">
        <f t="shared" si="11"/>
        <v>High</v>
      </c>
      <c r="P146" t="str">
        <f t="shared" si="12"/>
        <v>Poor</v>
      </c>
      <c r="Q146">
        <f t="shared" si="13"/>
        <v>1</v>
      </c>
      <c r="R146" t="str">
        <f t="shared" si="14"/>
        <v>Average</v>
      </c>
      <c r="S146">
        <f>COUNTIF('Students Social Media Addiction'!O:O,"High")/COUNTA(Table1[Student_ID])</f>
        <v>0.5787234042553191</v>
      </c>
      <c r="T146">
        <f>AVERAGE(Table1[Academic Impact Flag])</f>
        <v>0.64255319148936174</v>
      </c>
      <c r="U146">
        <f>AVERAGE(Table1[Sleep_Hours_Per_Night])</f>
        <v>6.868936170212768</v>
      </c>
      <c r="V146">
        <f>AVERAGE(Table1[Mental_Health_Score])</f>
        <v>6.2269503546099294</v>
      </c>
    </row>
    <row r="147" spans="1:22" x14ac:dyDescent="0.3">
      <c r="A147">
        <v>146</v>
      </c>
      <c r="B147">
        <v>21</v>
      </c>
      <c r="C147" t="s">
        <v>12</v>
      </c>
      <c r="D147" t="s">
        <v>19</v>
      </c>
      <c r="E147" t="s">
        <v>138</v>
      </c>
      <c r="F147">
        <v>3.8</v>
      </c>
      <c r="G147" t="s">
        <v>15</v>
      </c>
      <c r="H147" t="s">
        <v>22</v>
      </c>
      <c r="I147">
        <v>8.1999999999999993</v>
      </c>
      <c r="J147">
        <v>8</v>
      </c>
      <c r="K147" t="s">
        <v>17</v>
      </c>
      <c r="L147">
        <v>5</v>
      </c>
      <c r="M147" t="str">
        <f>IF(Table1[[#This Row],[Age]]&lt;=18,"Teen",IF(Table1[[#This Row],[Age]]&lt;=21,"Young Adult","Adult"))</f>
        <v>Young Adult</v>
      </c>
      <c r="N147" t="str">
        <f t="shared" si="10"/>
        <v>Moderate</v>
      </c>
      <c r="O147" t="str">
        <f t="shared" si="11"/>
        <v>Medium</v>
      </c>
      <c r="P147" t="str">
        <f t="shared" si="12"/>
        <v>Healthy</v>
      </c>
      <c r="Q147">
        <f t="shared" si="13"/>
        <v>0</v>
      </c>
      <c r="R147" t="str">
        <f t="shared" si="14"/>
        <v>Good</v>
      </c>
      <c r="S147">
        <f>COUNTIF('Students Social Media Addiction'!O:O,"High")/COUNTA(Table1[Student_ID])</f>
        <v>0.5787234042553191</v>
      </c>
      <c r="T147">
        <f>AVERAGE(Table1[Academic Impact Flag])</f>
        <v>0.64255319148936174</v>
      </c>
      <c r="U147">
        <f>AVERAGE(Table1[Sleep_Hours_Per_Night])</f>
        <v>6.868936170212768</v>
      </c>
      <c r="V147">
        <f>AVERAGE(Table1[Mental_Health_Score])</f>
        <v>6.2269503546099294</v>
      </c>
    </row>
    <row r="148" spans="1:22" x14ac:dyDescent="0.3">
      <c r="A148">
        <v>147</v>
      </c>
      <c r="B148">
        <v>19</v>
      </c>
      <c r="C148" t="s">
        <v>18</v>
      </c>
      <c r="D148" t="s">
        <v>13</v>
      </c>
      <c r="E148" t="s">
        <v>14</v>
      </c>
      <c r="F148">
        <v>4.5</v>
      </c>
      <c r="G148" t="s">
        <v>25</v>
      </c>
      <c r="H148" t="s">
        <v>16</v>
      </c>
      <c r="I148">
        <v>7.1</v>
      </c>
      <c r="J148">
        <v>5</v>
      </c>
      <c r="K148" t="s">
        <v>23</v>
      </c>
      <c r="L148">
        <v>8</v>
      </c>
      <c r="M148" t="str">
        <f>IF(Table1[[#This Row],[Age]]&lt;=18,"Teen",IF(Table1[[#This Row],[Age]]&lt;=21,"Young Adult","Adult"))</f>
        <v>Young Adult</v>
      </c>
      <c r="N148" t="str">
        <f t="shared" si="10"/>
        <v>High</v>
      </c>
      <c r="O148" t="str">
        <f t="shared" si="11"/>
        <v>High</v>
      </c>
      <c r="P148" t="str">
        <f t="shared" si="12"/>
        <v>Healthy</v>
      </c>
      <c r="Q148">
        <f t="shared" si="13"/>
        <v>1</v>
      </c>
      <c r="R148" t="str">
        <f t="shared" si="14"/>
        <v>Average</v>
      </c>
      <c r="S148">
        <f>COUNTIF('Students Social Media Addiction'!O:O,"High")/COUNTA(Table1[Student_ID])</f>
        <v>0.5787234042553191</v>
      </c>
      <c r="T148">
        <f>AVERAGE(Table1[Academic Impact Flag])</f>
        <v>0.64255319148936174</v>
      </c>
      <c r="U148">
        <f>AVERAGE(Table1[Sleep_Hours_Per_Night])</f>
        <v>6.868936170212768</v>
      </c>
      <c r="V148">
        <f>AVERAGE(Table1[Mental_Health_Score])</f>
        <v>6.2269503546099294</v>
      </c>
    </row>
    <row r="149" spans="1:22" x14ac:dyDescent="0.3">
      <c r="A149">
        <v>148</v>
      </c>
      <c r="B149">
        <v>20</v>
      </c>
      <c r="C149" t="s">
        <v>12</v>
      </c>
      <c r="D149" t="s">
        <v>13</v>
      </c>
      <c r="E149" t="s">
        <v>20</v>
      </c>
      <c r="F149">
        <v>5</v>
      </c>
      <c r="G149" t="s">
        <v>15</v>
      </c>
      <c r="H149" t="s">
        <v>16</v>
      </c>
      <c r="I149">
        <v>5</v>
      </c>
      <c r="J149">
        <v>6</v>
      </c>
      <c r="K149" t="s">
        <v>17</v>
      </c>
      <c r="L149">
        <v>7</v>
      </c>
      <c r="M149" t="str">
        <f>IF(Table1[[#This Row],[Age]]&lt;=18,"Teen",IF(Table1[[#This Row],[Age]]&lt;=21,"Young Adult","Adult"))</f>
        <v>Young Adult</v>
      </c>
      <c r="N149" t="str">
        <f t="shared" si="10"/>
        <v>High</v>
      </c>
      <c r="O149" t="str">
        <f t="shared" si="11"/>
        <v>High</v>
      </c>
      <c r="P149" t="str">
        <f t="shared" si="12"/>
        <v>Poor</v>
      </c>
      <c r="Q149">
        <f t="shared" si="13"/>
        <v>1</v>
      </c>
      <c r="R149" t="str">
        <f t="shared" si="14"/>
        <v>Average</v>
      </c>
      <c r="S149">
        <f>COUNTIF('Students Social Media Addiction'!O:O,"High")/COUNTA(Table1[Student_ID])</f>
        <v>0.5787234042553191</v>
      </c>
      <c r="T149">
        <f>AVERAGE(Table1[Academic Impact Flag])</f>
        <v>0.64255319148936174</v>
      </c>
      <c r="U149">
        <f>AVERAGE(Table1[Sleep_Hours_Per_Night])</f>
        <v>6.868936170212768</v>
      </c>
      <c r="V149">
        <f>AVERAGE(Table1[Mental_Health_Score])</f>
        <v>6.2269503546099294</v>
      </c>
    </row>
    <row r="150" spans="1:22" x14ac:dyDescent="0.3">
      <c r="A150">
        <v>149</v>
      </c>
      <c r="B150">
        <v>22</v>
      </c>
      <c r="C150" t="s">
        <v>18</v>
      </c>
      <c r="D150" t="s">
        <v>19</v>
      </c>
      <c r="E150" t="s">
        <v>135</v>
      </c>
      <c r="F150">
        <v>3.7</v>
      </c>
      <c r="G150" t="s">
        <v>31</v>
      </c>
      <c r="H150" t="s">
        <v>22</v>
      </c>
      <c r="I150">
        <v>8.3000000000000007</v>
      </c>
      <c r="J150">
        <v>7</v>
      </c>
      <c r="K150" t="s">
        <v>23</v>
      </c>
      <c r="L150">
        <v>5</v>
      </c>
      <c r="M150" t="str">
        <f>IF(Table1[[#This Row],[Age]]&lt;=18,"Teen",IF(Table1[[#This Row],[Age]]&lt;=21,"Young Adult","Adult"))</f>
        <v>Adult</v>
      </c>
      <c r="N150" t="str">
        <f t="shared" si="10"/>
        <v>Moderate</v>
      </c>
      <c r="O150" t="str">
        <f t="shared" si="11"/>
        <v>Medium</v>
      </c>
      <c r="P150" t="str">
        <f t="shared" si="12"/>
        <v>Healthy</v>
      </c>
      <c r="Q150">
        <f t="shared" si="13"/>
        <v>0</v>
      </c>
      <c r="R150" t="str">
        <f t="shared" si="14"/>
        <v>Good</v>
      </c>
      <c r="S150">
        <f>COUNTIF('Students Social Media Addiction'!O:O,"High")/COUNTA(Table1[Student_ID])</f>
        <v>0.5787234042553191</v>
      </c>
      <c r="T150">
        <f>AVERAGE(Table1[Academic Impact Flag])</f>
        <v>0.64255319148936174</v>
      </c>
      <c r="U150">
        <f>AVERAGE(Table1[Sleep_Hours_Per_Night])</f>
        <v>6.868936170212768</v>
      </c>
      <c r="V150">
        <f>AVERAGE(Table1[Mental_Health_Score])</f>
        <v>6.2269503546099294</v>
      </c>
    </row>
    <row r="151" spans="1:22" x14ac:dyDescent="0.3">
      <c r="A151">
        <v>150</v>
      </c>
      <c r="B151">
        <v>21</v>
      </c>
      <c r="C151" t="s">
        <v>12</v>
      </c>
      <c r="D151" t="s">
        <v>19</v>
      </c>
      <c r="E151" t="s">
        <v>134</v>
      </c>
      <c r="F151">
        <v>4.4000000000000004</v>
      </c>
      <c r="G151" t="s">
        <v>15</v>
      </c>
      <c r="H151" t="s">
        <v>16</v>
      </c>
      <c r="I151">
        <v>7.2</v>
      </c>
      <c r="J151">
        <v>5</v>
      </c>
      <c r="K151" t="s">
        <v>17</v>
      </c>
      <c r="L151">
        <v>8</v>
      </c>
      <c r="M151" t="str">
        <f>IF(Table1[[#This Row],[Age]]&lt;=18,"Teen",IF(Table1[[#This Row],[Age]]&lt;=21,"Young Adult","Adult"))</f>
        <v>Young Adult</v>
      </c>
      <c r="N151" t="str">
        <f t="shared" si="10"/>
        <v>High</v>
      </c>
      <c r="O151" t="str">
        <f t="shared" si="11"/>
        <v>High</v>
      </c>
      <c r="P151" t="str">
        <f t="shared" si="12"/>
        <v>Healthy</v>
      </c>
      <c r="Q151">
        <f t="shared" si="13"/>
        <v>1</v>
      </c>
      <c r="R151" t="str">
        <f t="shared" si="14"/>
        <v>Average</v>
      </c>
      <c r="S151">
        <f>COUNTIF('Students Social Media Addiction'!O:O,"High")/COUNTA(Table1[Student_ID])</f>
        <v>0.5787234042553191</v>
      </c>
      <c r="T151">
        <f>AVERAGE(Table1[Academic Impact Flag])</f>
        <v>0.64255319148936174</v>
      </c>
      <c r="U151">
        <f>AVERAGE(Table1[Sleep_Hours_Per_Night])</f>
        <v>6.868936170212768</v>
      </c>
      <c r="V151">
        <f>AVERAGE(Table1[Mental_Health_Score])</f>
        <v>6.2269503546099294</v>
      </c>
    </row>
    <row r="152" spans="1:22" x14ac:dyDescent="0.3">
      <c r="A152">
        <v>151</v>
      </c>
      <c r="B152">
        <v>19</v>
      </c>
      <c r="C152" t="s">
        <v>18</v>
      </c>
      <c r="D152" t="s">
        <v>13</v>
      </c>
      <c r="E152" t="s">
        <v>137</v>
      </c>
      <c r="F152">
        <v>4.9000000000000004</v>
      </c>
      <c r="G152" t="s">
        <v>25</v>
      </c>
      <c r="H152" t="s">
        <v>16</v>
      </c>
      <c r="I152">
        <v>4.9000000000000004</v>
      </c>
      <c r="J152">
        <v>6</v>
      </c>
      <c r="K152" t="s">
        <v>23</v>
      </c>
      <c r="L152">
        <v>7</v>
      </c>
      <c r="M152" t="str">
        <f>IF(Table1[[#This Row],[Age]]&lt;=18,"Teen",IF(Table1[[#This Row],[Age]]&lt;=21,"Young Adult","Adult"))</f>
        <v>Young Adult</v>
      </c>
      <c r="N152" t="str">
        <f t="shared" si="10"/>
        <v>High</v>
      </c>
      <c r="O152" t="str">
        <f t="shared" si="11"/>
        <v>High</v>
      </c>
      <c r="P152" t="str">
        <f t="shared" si="12"/>
        <v>Poor</v>
      </c>
      <c r="Q152">
        <f t="shared" si="13"/>
        <v>1</v>
      </c>
      <c r="R152" t="str">
        <f t="shared" si="14"/>
        <v>Average</v>
      </c>
      <c r="S152">
        <f>COUNTIF('Students Social Media Addiction'!O:O,"High")/COUNTA(Table1[Student_ID])</f>
        <v>0.5787234042553191</v>
      </c>
      <c r="T152">
        <f>AVERAGE(Table1[Academic Impact Flag])</f>
        <v>0.64255319148936174</v>
      </c>
      <c r="U152">
        <f>AVERAGE(Table1[Sleep_Hours_Per_Night])</f>
        <v>6.868936170212768</v>
      </c>
      <c r="V152">
        <f>AVERAGE(Table1[Mental_Health_Score])</f>
        <v>6.2269503546099294</v>
      </c>
    </row>
    <row r="153" spans="1:22" x14ac:dyDescent="0.3">
      <c r="A153">
        <v>152</v>
      </c>
      <c r="B153">
        <v>20</v>
      </c>
      <c r="C153" t="s">
        <v>12</v>
      </c>
      <c r="D153" t="s">
        <v>13</v>
      </c>
      <c r="E153" t="s">
        <v>138</v>
      </c>
      <c r="F153">
        <v>3.6</v>
      </c>
      <c r="G153" t="s">
        <v>15</v>
      </c>
      <c r="H153" t="s">
        <v>22</v>
      </c>
      <c r="I153">
        <v>8.4</v>
      </c>
      <c r="J153">
        <v>8</v>
      </c>
      <c r="K153" t="s">
        <v>17</v>
      </c>
      <c r="L153">
        <v>5</v>
      </c>
      <c r="M153" t="str">
        <f>IF(Table1[[#This Row],[Age]]&lt;=18,"Teen",IF(Table1[[#This Row],[Age]]&lt;=21,"Young Adult","Adult"))</f>
        <v>Young Adult</v>
      </c>
      <c r="N153" t="str">
        <f t="shared" si="10"/>
        <v>Moderate</v>
      </c>
      <c r="O153" t="str">
        <f t="shared" si="11"/>
        <v>Medium</v>
      </c>
      <c r="P153" t="str">
        <f t="shared" si="12"/>
        <v>Healthy</v>
      </c>
      <c r="Q153">
        <f t="shared" si="13"/>
        <v>0</v>
      </c>
      <c r="R153" t="str">
        <f t="shared" si="14"/>
        <v>Good</v>
      </c>
      <c r="S153">
        <f>COUNTIF('Students Social Media Addiction'!O:O,"High")/COUNTA(Table1[Student_ID])</f>
        <v>0.5787234042553191</v>
      </c>
      <c r="T153">
        <f>AVERAGE(Table1[Academic Impact Flag])</f>
        <v>0.64255319148936174</v>
      </c>
      <c r="U153">
        <f>AVERAGE(Table1[Sleep_Hours_Per_Night])</f>
        <v>6.868936170212768</v>
      </c>
      <c r="V153">
        <f>AVERAGE(Table1[Mental_Health_Score])</f>
        <v>6.2269503546099294</v>
      </c>
    </row>
    <row r="154" spans="1:22" x14ac:dyDescent="0.3">
      <c r="A154">
        <v>153</v>
      </c>
      <c r="B154">
        <v>22</v>
      </c>
      <c r="C154" t="s">
        <v>18</v>
      </c>
      <c r="D154" t="s">
        <v>19</v>
      </c>
      <c r="E154" t="s">
        <v>14</v>
      </c>
      <c r="F154">
        <v>4.3</v>
      </c>
      <c r="G154" t="s">
        <v>31</v>
      </c>
      <c r="H154" t="s">
        <v>16</v>
      </c>
      <c r="I154">
        <v>7.3</v>
      </c>
      <c r="J154">
        <v>5</v>
      </c>
      <c r="K154" t="s">
        <v>23</v>
      </c>
      <c r="L154">
        <v>8</v>
      </c>
      <c r="M154" t="str">
        <f>IF(Table1[[#This Row],[Age]]&lt;=18,"Teen",IF(Table1[[#This Row],[Age]]&lt;=21,"Young Adult","Adult"))</f>
        <v>Adult</v>
      </c>
      <c r="N154" t="str">
        <f t="shared" si="10"/>
        <v>High</v>
      </c>
      <c r="O154" t="str">
        <f t="shared" si="11"/>
        <v>High</v>
      </c>
      <c r="P154" t="str">
        <f t="shared" si="12"/>
        <v>Healthy</v>
      </c>
      <c r="Q154">
        <f t="shared" si="13"/>
        <v>1</v>
      </c>
      <c r="R154" t="str">
        <f t="shared" si="14"/>
        <v>Average</v>
      </c>
      <c r="S154">
        <f>COUNTIF('Students Social Media Addiction'!O:O,"High")/COUNTA(Table1[Student_ID])</f>
        <v>0.5787234042553191</v>
      </c>
      <c r="T154">
        <f>AVERAGE(Table1[Academic Impact Flag])</f>
        <v>0.64255319148936174</v>
      </c>
      <c r="U154">
        <f>AVERAGE(Table1[Sleep_Hours_Per_Night])</f>
        <v>6.868936170212768</v>
      </c>
      <c r="V154">
        <f>AVERAGE(Table1[Mental_Health_Score])</f>
        <v>6.2269503546099294</v>
      </c>
    </row>
    <row r="155" spans="1:22" x14ac:dyDescent="0.3">
      <c r="A155">
        <v>154</v>
      </c>
      <c r="B155">
        <v>21</v>
      </c>
      <c r="C155" t="s">
        <v>12</v>
      </c>
      <c r="D155" t="s">
        <v>19</v>
      </c>
      <c r="E155" t="s">
        <v>20</v>
      </c>
      <c r="F155">
        <v>4.8</v>
      </c>
      <c r="G155" t="s">
        <v>15</v>
      </c>
      <c r="H155" t="s">
        <v>16</v>
      </c>
      <c r="I155">
        <v>4.8</v>
      </c>
      <c r="J155">
        <v>6</v>
      </c>
      <c r="K155" t="s">
        <v>17</v>
      </c>
      <c r="L155">
        <v>7</v>
      </c>
      <c r="M155" t="str">
        <f>IF(Table1[[#This Row],[Age]]&lt;=18,"Teen",IF(Table1[[#This Row],[Age]]&lt;=21,"Young Adult","Adult"))</f>
        <v>Young Adult</v>
      </c>
      <c r="N155" t="str">
        <f t="shared" si="10"/>
        <v>High</v>
      </c>
      <c r="O155" t="str">
        <f t="shared" si="11"/>
        <v>High</v>
      </c>
      <c r="P155" t="str">
        <f t="shared" si="12"/>
        <v>Poor</v>
      </c>
      <c r="Q155">
        <f t="shared" si="13"/>
        <v>1</v>
      </c>
      <c r="R155" t="str">
        <f t="shared" si="14"/>
        <v>Average</v>
      </c>
      <c r="S155">
        <f>COUNTIF('Students Social Media Addiction'!O:O,"High")/COUNTA(Table1[Student_ID])</f>
        <v>0.5787234042553191</v>
      </c>
      <c r="T155">
        <f>AVERAGE(Table1[Academic Impact Flag])</f>
        <v>0.64255319148936174</v>
      </c>
      <c r="U155">
        <f>AVERAGE(Table1[Sleep_Hours_Per_Night])</f>
        <v>6.868936170212768</v>
      </c>
      <c r="V155">
        <f>AVERAGE(Table1[Mental_Health_Score])</f>
        <v>6.2269503546099294</v>
      </c>
    </row>
    <row r="156" spans="1:22" x14ac:dyDescent="0.3">
      <c r="A156">
        <v>155</v>
      </c>
      <c r="B156">
        <v>19</v>
      </c>
      <c r="C156" t="s">
        <v>18</v>
      </c>
      <c r="D156" t="s">
        <v>13</v>
      </c>
      <c r="E156" t="s">
        <v>135</v>
      </c>
      <c r="F156">
        <v>3.5</v>
      </c>
      <c r="G156" t="s">
        <v>25</v>
      </c>
      <c r="H156" t="s">
        <v>22</v>
      </c>
      <c r="I156">
        <v>8.5</v>
      </c>
      <c r="J156">
        <v>7</v>
      </c>
      <c r="K156" t="s">
        <v>23</v>
      </c>
      <c r="L156">
        <v>5</v>
      </c>
      <c r="M156" t="str">
        <f>IF(Table1[[#This Row],[Age]]&lt;=18,"Teen",IF(Table1[[#This Row],[Age]]&lt;=21,"Young Adult","Adult"))</f>
        <v>Young Adult</v>
      </c>
      <c r="N156" t="str">
        <f t="shared" si="10"/>
        <v>Moderate</v>
      </c>
      <c r="O156" t="str">
        <f t="shared" si="11"/>
        <v>Medium</v>
      </c>
      <c r="P156" t="str">
        <f t="shared" si="12"/>
        <v>Healthy</v>
      </c>
      <c r="Q156">
        <f t="shared" si="13"/>
        <v>0</v>
      </c>
      <c r="R156" t="str">
        <f t="shared" si="14"/>
        <v>Good</v>
      </c>
      <c r="S156">
        <f>COUNTIF('Students Social Media Addiction'!O:O,"High")/COUNTA(Table1[Student_ID])</f>
        <v>0.5787234042553191</v>
      </c>
      <c r="T156">
        <f>AVERAGE(Table1[Academic Impact Flag])</f>
        <v>0.64255319148936174</v>
      </c>
      <c r="U156">
        <f>AVERAGE(Table1[Sleep_Hours_Per_Night])</f>
        <v>6.868936170212768</v>
      </c>
      <c r="V156">
        <f>AVERAGE(Table1[Mental_Health_Score])</f>
        <v>6.2269503546099294</v>
      </c>
    </row>
    <row r="157" spans="1:22" x14ac:dyDescent="0.3">
      <c r="A157">
        <v>156</v>
      </c>
      <c r="B157">
        <v>20</v>
      </c>
      <c r="C157" t="s">
        <v>12</v>
      </c>
      <c r="D157" t="s">
        <v>13</v>
      </c>
      <c r="E157" t="s">
        <v>134</v>
      </c>
      <c r="F157">
        <v>4.2</v>
      </c>
      <c r="G157" t="s">
        <v>15</v>
      </c>
      <c r="H157" t="s">
        <v>16</v>
      </c>
      <c r="I157">
        <v>7.4</v>
      </c>
      <c r="J157">
        <v>5</v>
      </c>
      <c r="K157" t="s">
        <v>17</v>
      </c>
      <c r="L157">
        <v>8</v>
      </c>
      <c r="M157" t="str">
        <f>IF(Table1[[#This Row],[Age]]&lt;=18,"Teen",IF(Table1[[#This Row],[Age]]&lt;=21,"Young Adult","Adult"))</f>
        <v>Young Adult</v>
      </c>
      <c r="N157" t="str">
        <f t="shared" si="10"/>
        <v>High</v>
      </c>
      <c r="O157" t="str">
        <f t="shared" si="11"/>
        <v>High</v>
      </c>
      <c r="P157" t="str">
        <f t="shared" si="12"/>
        <v>Healthy</v>
      </c>
      <c r="Q157">
        <f t="shared" si="13"/>
        <v>1</v>
      </c>
      <c r="R157" t="str">
        <f t="shared" si="14"/>
        <v>Average</v>
      </c>
      <c r="S157">
        <f>COUNTIF('Students Social Media Addiction'!O:O,"High")/COUNTA(Table1[Student_ID])</f>
        <v>0.5787234042553191</v>
      </c>
      <c r="T157">
        <f>AVERAGE(Table1[Academic Impact Flag])</f>
        <v>0.64255319148936174</v>
      </c>
      <c r="U157">
        <f>AVERAGE(Table1[Sleep_Hours_Per_Night])</f>
        <v>6.868936170212768</v>
      </c>
      <c r="V157">
        <f>AVERAGE(Table1[Mental_Health_Score])</f>
        <v>6.2269503546099294</v>
      </c>
    </row>
    <row r="158" spans="1:22" x14ac:dyDescent="0.3">
      <c r="A158">
        <v>157</v>
      </c>
      <c r="B158">
        <v>22</v>
      </c>
      <c r="C158" t="s">
        <v>18</v>
      </c>
      <c r="D158" t="s">
        <v>19</v>
      </c>
      <c r="E158" t="s">
        <v>137</v>
      </c>
      <c r="F158">
        <v>4.7</v>
      </c>
      <c r="G158" t="s">
        <v>31</v>
      </c>
      <c r="H158" t="s">
        <v>16</v>
      </c>
      <c r="I158">
        <v>4.7</v>
      </c>
      <c r="J158">
        <v>6</v>
      </c>
      <c r="K158" t="s">
        <v>23</v>
      </c>
      <c r="L158">
        <v>7</v>
      </c>
      <c r="M158" t="str">
        <f>IF(Table1[[#This Row],[Age]]&lt;=18,"Teen",IF(Table1[[#This Row],[Age]]&lt;=21,"Young Adult","Adult"))</f>
        <v>Adult</v>
      </c>
      <c r="N158" t="str">
        <f t="shared" si="10"/>
        <v>High</v>
      </c>
      <c r="O158" t="str">
        <f t="shared" si="11"/>
        <v>High</v>
      </c>
      <c r="P158" t="str">
        <f t="shared" si="12"/>
        <v>Poor</v>
      </c>
      <c r="Q158">
        <f t="shared" si="13"/>
        <v>1</v>
      </c>
      <c r="R158" t="str">
        <f t="shared" si="14"/>
        <v>Average</v>
      </c>
      <c r="S158">
        <f>COUNTIF('Students Social Media Addiction'!O:O,"High")/COUNTA(Table1[Student_ID])</f>
        <v>0.5787234042553191</v>
      </c>
      <c r="T158">
        <f>AVERAGE(Table1[Academic Impact Flag])</f>
        <v>0.64255319148936174</v>
      </c>
      <c r="U158">
        <f>AVERAGE(Table1[Sleep_Hours_Per_Night])</f>
        <v>6.868936170212768</v>
      </c>
      <c r="V158">
        <f>AVERAGE(Table1[Mental_Health_Score])</f>
        <v>6.2269503546099294</v>
      </c>
    </row>
    <row r="159" spans="1:22" x14ac:dyDescent="0.3">
      <c r="A159">
        <v>158</v>
      </c>
      <c r="B159">
        <v>21</v>
      </c>
      <c r="C159" t="s">
        <v>12</v>
      </c>
      <c r="D159" t="s">
        <v>19</v>
      </c>
      <c r="E159" t="s">
        <v>138</v>
      </c>
      <c r="F159">
        <v>3.4</v>
      </c>
      <c r="G159" t="s">
        <v>15</v>
      </c>
      <c r="H159" t="s">
        <v>22</v>
      </c>
      <c r="I159">
        <v>8.6</v>
      </c>
      <c r="J159">
        <v>8</v>
      </c>
      <c r="K159" t="s">
        <v>17</v>
      </c>
      <c r="L159">
        <v>5</v>
      </c>
      <c r="M159" t="str">
        <f>IF(Table1[[#This Row],[Age]]&lt;=18,"Teen",IF(Table1[[#This Row],[Age]]&lt;=21,"Young Adult","Adult"))</f>
        <v>Young Adult</v>
      </c>
      <c r="N159" t="str">
        <f t="shared" si="10"/>
        <v>Moderate</v>
      </c>
      <c r="O159" t="str">
        <f t="shared" si="11"/>
        <v>Medium</v>
      </c>
      <c r="P159" t="str">
        <f t="shared" si="12"/>
        <v>Healthy</v>
      </c>
      <c r="Q159">
        <f t="shared" si="13"/>
        <v>0</v>
      </c>
      <c r="R159" t="str">
        <f t="shared" si="14"/>
        <v>Good</v>
      </c>
      <c r="S159">
        <f>COUNTIF('Students Social Media Addiction'!O:O,"High")/COUNTA(Table1[Student_ID])</f>
        <v>0.5787234042553191</v>
      </c>
      <c r="T159">
        <f>AVERAGE(Table1[Academic Impact Flag])</f>
        <v>0.64255319148936174</v>
      </c>
      <c r="U159">
        <f>AVERAGE(Table1[Sleep_Hours_Per_Night])</f>
        <v>6.868936170212768</v>
      </c>
      <c r="V159">
        <f>AVERAGE(Table1[Mental_Health_Score])</f>
        <v>6.2269503546099294</v>
      </c>
    </row>
    <row r="160" spans="1:22" x14ac:dyDescent="0.3">
      <c r="A160">
        <v>159</v>
      </c>
      <c r="B160">
        <v>19</v>
      </c>
      <c r="C160" t="s">
        <v>18</v>
      </c>
      <c r="D160" t="s">
        <v>13</v>
      </c>
      <c r="E160" t="s">
        <v>14</v>
      </c>
      <c r="F160">
        <v>4.0999999999999996</v>
      </c>
      <c r="G160" t="s">
        <v>25</v>
      </c>
      <c r="H160" t="s">
        <v>16</v>
      </c>
      <c r="I160">
        <v>7.5</v>
      </c>
      <c r="J160">
        <v>5</v>
      </c>
      <c r="K160" t="s">
        <v>23</v>
      </c>
      <c r="L160">
        <v>8</v>
      </c>
      <c r="M160" t="str">
        <f>IF(Table1[[#This Row],[Age]]&lt;=18,"Teen",IF(Table1[[#This Row],[Age]]&lt;=21,"Young Adult","Adult"))</f>
        <v>Young Adult</v>
      </c>
      <c r="N160" t="str">
        <f t="shared" si="10"/>
        <v>High</v>
      </c>
      <c r="O160" t="str">
        <f t="shared" si="11"/>
        <v>High</v>
      </c>
      <c r="P160" t="str">
        <f t="shared" si="12"/>
        <v>Healthy</v>
      </c>
      <c r="Q160">
        <f t="shared" si="13"/>
        <v>1</v>
      </c>
      <c r="R160" t="str">
        <f t="shared" si="14"/>
        <v>Average</v>
      </c>
      <c r="S160">
        <f>COUNTIF('Students Social Media Addiction'!O:O,"High")/COUNTA(Table1[Student_ID])</f>
        <v>0.5787234042553191</v>
      </c>
      <c r="T160">
        <f>AVERAGE(Table1[Academic Impact Flag])</f>
        <v>0.64255319148936174</v>
      </c>
      <c r="U160">
        <f>AVERAGE(Table1[Sleep_Hours_Per_Night])</f>
        <v>6.868936170212768</v>
      </c>
      <c r="V160">
        <f>AVERAGE(Table1[Mental_Health_Score])</f>
        <v>6.2269503546099294</v>
      </c>
    </row>
    <row r="161" spans="1:22" x14ac:dyDescent="0.3">
      <c r="A161">
        <v>160</v>
      </c>
      <c r="B161">
        <v>20</v>
      </c>
      <c r="C161" t="s">
        <v>12</v>
      </c>
      <c r="D161" t="s">
        <v>13</v>
      </c>
      <c r="E161" t="s">
        <v>20</v>
      </c>
      <c r="F161">
        <v>4.5999999999999996</v>
      </c>
      <c r="G161" t="s">
        <v>15</v>
      </c>
      <c r="H161" t="s">
        <v>16</v>
      </c>
      <c r="I161">
        <v>4.5999999999999996</v>
      </c>
      <c r="J161">
        <v>6</v>
      </c>
      <c r="K161" t="s">
        <v>17</v>
      </c>
      <c r="L161">
        <v>7</v>
      </c>
      <c r="M161" t="str">
        <f>IF(Table1[[#This Row],[Age]]&lt;=18,"Teen",IF(Table1[[#This Row],[Age]]&lt;=21,"Young Adult","Adult"))</f>
        <v>Young Adult</v>
      </c>
      <c r="N161" t="str">
        <f t="shared" si="10"/>
        <v>High</v>
      </c>
      <c r="O161" t="str">
        <f t="shared" si="11"/>
        <v>High</v>
      </c>
      <c r="P161" t="str">
        <f t="shared" si="12"/>
        <v>Poor</v>
      </c>
      <c r="Q161">
        <f t="shared" si="13"/>
        <v>1</v>
      </c>
      <c r="R161" t="str">
        <f t="shared" si="14"/>
        <v>Average</v>
      </c>
      <c r="S161">
        <f>COUNTIF('Students Social Media Addiction'!O:O,"High")/COUNTA(Table1[Student_ID])</f>
        <v>0.5787234042553191</v>
      </c>
      <c r="T161">
        <f>AVERAGE(Table1[Academic Impact Flag])</f>
        <v>0.64255319148936174</v>
      </c>
      <c r="U161">
        <f>AVERAGE(Table1[Sleep_Hours_Per_Night])</f>
        <v>6.868936170212768</v>
      </c>
      <c r="V161">
        <f>AVERAGE(Table1[Mental_Health_Score])</f>
        <v>6.2269503546099294</v>
      </c>
    </row>
    <row r="162" spans="1:22" x14ac:dyDescent="0.3">
      <c r="A162">
        <v>161</v>
      </c>
      <c r="B162">
        <v>19</v>
      </c>
      <c r="C162" t="s">
        <v>12</v>
      </c>
      <c r="D162" t="s">
        <v>13</v>
      </c>
      <c r="E162" t="s">
        <v>14</v>
      </c>
      <c r="F162">
        <v>5.3</v>
      </c>
      <c r="G162" t="s">
        <v>15</v>
      </c>
      <c r="H162" t="s">
        <v>16</v>
      </c>
      <c r="I162">
        <v>6.1</v>
      </c>
      <c r="J162">
        <v>5</v>
      </c>
      <c r="K162" t="s">
        <v>23</v>
      </c>
      <c r="L162">
        <v>7</v>
      </c>
      <c r="M162" t="str">
        <f>IF(Table1[[#This Row],[Age]]&lt;=18,"Teen",IF(Table1[[#This Row],[Age]]&lt;=21,"Young Adult","Adult"))</f>
        <v>Young Adult</v>
      </c>
      <c r="N162" t="str">
        <f t="shared" si="10"/>
        <v>High</v>
      </c>
      <c r="O162" t="str">
        <f t="shared" si="11"/>
        <v>High</v>
      </c>
      <c r="P162" t="str">
        <f t="shared" si="12"/>
        <v>Average</v>
      </c>
      <c r="Q162">
        <f t="shared" si="13"/>
        <v>1</v>
      </c>
      <c r="R162" t="str">
        <f t="shared" si="14"/>
        <v>Average</v>
      </c>
      <c r="S162">
        <f>COUNTIF('Students Social Media Addiction'!O:O,"High")/COUNTA(Table1[Student_ID])</f>
        <v>0.5787234042553191</v>
      </c>
      <c r="T162">
        <f>AVERAGE(Table1[Academic Impact Flag])</f>
        <v>0.64255319148936174</v>
      </c>
      <c r="U162">
        <f>AVERAGE(Table1[Sleep_Hours_Per_Night])</f>
        <v>6.868936170212768</v>
      </c>
      <c r="V162">
        <f>AVERAGE(Table1[Mental_Health_Score])</f>
        <v>6.2269503546099294</v>
      </c>
    </row>
    <row r="163" spans="1:22" x14ac:dyDescent="0.3">
      <c r="A163">
        <v>162</v>
      </c>
      <c r="B163">
        <v>21</v>
      </c>
      <c r="C163" t="s">
        <v>18</v>
      </c>
      <c r="D163" t="s">
        <v>19</v>
      </c>
      <c r="E163" t="s">
        <v>20</v>
      </c>
      <c r="F163">
        <v>4.8</v>
      </c>
      <c r="G163" t="s">
        <v>31</v>
      </c>
      <c r="H163" t="s">
        <v>22</v>
      </c>
      <c r="I163">
        <v>7.2</v>
      </c>
      <c r="J163">
        <v>7</v>
      </c>
      <c r="K163" t="s">
        <v>17</v>
      </c>
      <c r="L163">
        <v>6</v>
      </c>
      <c r="M163" t="str">
        <f>IF(Table1[[#This Row],[Age]]&lt;=18,"Teen",IF(Table1[[#This Row],[Age]]&lt;=21,"Young Adult","Adult"))</f>
        <v>Young Adult</v>
      </c>
      <c r="N163" t="str">
        <f t="shared" si="10"/>
        <v>High</v>
      </c>
      <c r="O163" t="str">
        <f t="shared" si="11"/>
        <v>Medium</v>
      </c>
      <c r="P163" t="str">
        <f t="shared" si="12"/>
        <v>Healthy</v>
      </c>
      <c r="Q163">
        <f t="shared" si="13"/>
        <v>0</v>
      </c>
      <c r="R163" t="str">
        <f t="shared" si="14"/>
        <v>Good</v>
      </c>
      <c r="S163">
        <f>COUNTIF('Students Social Media Addiction'!O:O,"High")/COUNTA(Table1[Student_ID])</f>
        <v>0.5787234042553191</v>
      </c>
      <c r="T163">
        <f>AVERAGE(Table1[Academic Impact Flag])</f>
        <v>0.64255319148936174</v>
      </c>
      <c r="U163">
        <f>AVERAGE(Table1[Sleep_Hours_Per_Night])</f>
        <v>6.868936170212768</v>
      </c>
      <c r="V163">
        <f>AVERAGE(Table1[Mental_Health_Score])</f>
        <v>6.2269503546099294</v>
      </c>
    </row>
    <row r="164" spans="1:22" x14ac:dyDescent="0.3">
      <c r="A164">
        <v>163</v>
      </c>
      <c r="B164">
        <v>20</v>
      </c>
      <c r="C164" t="s">
        <v>12</v>
      </c>
      <c r="D164" t="s">
        <v>13</v>
      </c>
      <c r="E164" t="s">
        <v>135</v>
      </c>
      <c r="F164">
        <v>5.5</v>
      </c>
      <c r="G164" t="s">
        <v>25</v>
      </c>
      <c r="H164" t="s">
        <v>16</v>
      </c>
      <c r="I164">
        <v>5.9</v>
      </c>
      <c r="J164">
        <v>6</v>
      </c>
      <c r="K164" t="s">
        <v>23</v>
      </c>
      <c r="L164">
        <v>8</v>
      </c>
      <c r="M164" t="str">
        <f>IF(Table1[[#This Row],[Age]]&lt;=18,"Teen",IF(Table1[[#This Row],[Age]]&lt;=21,"Young Adult","Adult"))</f>
        <v>Young Adult</v>
      </c>
      <c r="N164" t="str">
        <f t="shared" si="10"/>
        <v>High</v>
      </c>
      <c r="O164" t="str">
        <f t="shared" si="11"/>
        <v>High</v>
      </c>
      <c r="P164" t="str">
        <f t="shared" si="12"/>
        <v>Poor</v>
      </c>
      <c r="Q164">
        <f t="shared" si="13"/>
        <v>1</v>
      </c>
      <c r="R164" t="str">
        <f t="shared" si="14"/>
        <v>Average</v>
      </c>
      <c r="S164">
        <f>COUNTIF('Students Social Media Addiction'!O:O,"High")/COUNTA(Table1[Student_ID])</f>
        <v>0.5787234042553191</v>
      </c>
      <c r="T164">
        <f>AVERAGE(Table1[Academic Impact Flag])</f>
        <v>0.64255319148936174</v>
      </c>
      <c r="U164">
        <f>AVERAGE(Table1[Sleep_Hours_Per_Night])</f>
        <v>6.868936170212768</v>
      </c>
      <c r="V164">
        <f>AVERAGE(Table1[Mental_Health_Score])</f>
        <v>6.2269503546099294</v>
      </c>
    </row>
    <row r="165" spans="1:22" x14ac:dyDescent="0.3">
      <c r="A165">
        <v>164</v>
      </c>
      <c r="B165">
        <v>22</v>
      </c>
      <c r="C165" t="s">
        <v>18</v>
      </c>
      <c r="D165" t="s">
        <v>19</v>
      </c>
      <c r="E165" t="s">
        <v>134</v>
      </c>
      <c r="F165">
        <v>4.7</v>
      </c>
      <c r="G165" t="s">
        <v>15</v>
      </c>
      <c r="H165" t="s">
        <v>16</v>
      </c>
      <c r="I165">
        <v>6.3</v>
      </c>
      <c r="J165">
        <v>5</v>
      </c>
      <c r="K165" t="s">
        <v>17</v>
      </c>
      <c r="L165">
        <v>7</v>
      </c>
      <c r="M165" t="str">
        <f>IF(Table1[[#This Row],[Age]]&lt;=18,"Teen",IF(Table1[[#This Row],[Age]]&lt;=21,"Young Adult","Adult"))</f>
        <v>Adult</v>
      </c>
      <c r="N165" t="str">
        <f t="shared" si="10"/>
        <v>High</v>
      </c>
      <c r="O165" t="str">
        <f t="shared" si="11"/>
        <v>High</v>
      </c>
      <c r="P165" t="str">
        <f t="shared" si="12"/>
        <v>Average</v>
      </c>
      <c r="Q165">
        <f t="shared" si="13"/>
        <v>1</v>
      </c>
      <c r="R165" t="str">
        <f t="shared" si="14"/>
        <v>Average</v>
      </c>
      <c r="S165">
        <f>COUNTIF('Students Social Media Addiction'!O:O,"High")/COUNTA(Table1[Student_ID])</f>
        <v>0.5787234042553191</v>
      </c>
      <c r="T165">
        <f>AVERAGE(Table1[Academic Impact Flag])</f>
        <v>0.64255319148936174</v>
      </c>
      <c r="U165">
        <f>AVERAGE(Table1[Sleep_Hours_Per_Night])</f>
        <v>6.868936170212768</v>
      </c>
      <c r="V165">
        <f>AVERAGE(Table1[Mental_Health_Score])</f>
        <v>6.2269503546099294</v>
      </c>
    </row>
    <row r="166" spans="1:22" x14ac:dyDescent="0.3">
      <c r="A166">
        <v>165</v>
      </c>
      <c r="B166">
        <v>19</v>
      </c>
      <c r="C166" t="s">
        <v>12</v>
      </c>
      <c r="D166" t="s">
        <v>13</v>
      </c>
      <c r="E166" t="s">
        <v>137</v>
      </c>
      <c r="F166">
        <v>5.0999999999999996</v>
      </c>
      <c r="G166" t="s">
        <v>31</v>
      </c>
      <c r="H166" t="s">
        <v>22</v>
      </c>
      <c r="I166">
        <v>7</v>
      </c>
      <c r="J166">
        <v>7</v>
      </c>
      <c r="K166" t="s">
        <v>23</v>
      </c>
      <c r="L166">
        <v>5</v>
      </c>
      <c r="M166" t="str">
        <f>IF(Table1[[#This Row],[Age]]&lt;=18,"Teen",IF(Table1[[#This Row],[Age]]&lt;=21,"Young Adult","Adult"))</f>
        <v>Young Adult</v>
      </c>
      <c r="N166" t="str">
        <f t="shared" si="10"/>
        <v>High</v>
      </c>
      <c r="O166" t="str">
        <f t="shared" si="11"/>
        <v>Medium</v>
      </c>
      <c r="P166" t="str">
        <f t="shared" si="12"/>
        <v>Average</v>
      </c>
      <c r="Q166">
        <f t="shared" si="13"/>
        <v>0</v>
      </c>
      <c r="R166" t="str">
        <f t="shared" si="14"/>
        <v>Good</v>
      </c>
      <c r="S166">
        <f>COUNTIF('Students Social Media Addiction'!O:O,"High")/COUNTA(Table1[Student_ID])</f>
        <v>0.5787234042553191</v>
      </c>
      <c r="T166">
        <f>AVERAGE(Table1[Academic Impact Flag])</f>
        <v>0.64255319148936174</v>
      </c>
      <c r="U166">
        <f>AVERAGE(Table1[Sleep_Hours_Per_Night])</f>
        <v>6.868936170212768</v>
      </c>
      <c r="V166">
        <f>AVERAGE(Table1[Mental_Health_Score])</f>
        <v>6.2269503546099294</v>
      </c>
    </row>
    <row r="167" spans="1:22" x14ac:dyDescent="0.3">
      <c r="A167">
        <v>166</v>
      </c>
      <c r="B167">
        <v>21</v>
      </c>
      <c r="C167" t="s">
        <v>18</v>
      </c>
      <c r="D167" t="s">
        <v>19</v>
      </c>
      <c r="E167" t="s">
        <v>138</v>
      </c>
      <c r="F167">
        <v>5.4</v>
      </c>
      <c r="G167" t="s">
        <v>25</v>
      </c>
      <c r="H167" t="s">
        <v>16</v>
      </c>
      <c r="I167">
        <v>6</v>
      </c>
      <c r="J167">
        <v>6</v>
      </c>
      <c r="K167" t="s">
        <v>17</v>
      </c>
      <c r="L167">
        <v>8</v>
      </c>
      <c r="M167" t="str">
        <f>IF(Table1[[#This Row],[Age]]&lt;=18,"Teen",IF(Table1[[#This Row],[Age]]&lt;=21,"Young Adult","Adult"))</f>
        <v>Young Adult</v>
      </c>
      <c r="N167" t="str">
        <f t="shared" si="10"/>
        <v>High</v>
      </c>
      <c r="O167" t="str">
        <f t="shared" si="11"/>
        <v>High</v>
      </c>
      <c r="P167" t="str">
        <f t="shared" si="12"/>
        <v>Average</v>
      </c>
      <c r="Q167">
        <f t="shared" si="13"/>
        <v>1</v>
      </c>
      <c r="R167" t="str">
        <f t="shared" si="14"/>
        <v>Average</v>
      </c>
      <c r="S167">
        <f>COUNTIF('Students Social Media Addiction'!O:O,"High")/COUNTA(Table1[Student_ID])</f>
        <v>0.5787234042553191</v>
      </c>
      <c r="T167">
        <f>AVERAGE(Table1[Academic Impact Flag])</f>
        <v>0.64255319148936174</v>
      </c>
      <c r="U167">
        <f>AVERAGE(Table1[Sleep_Hours_Per_Night])</f>
        <v>6.868936170212768</v>
      </c>
      <c r="V167">
        <f>AVERAGE(Table1[Mental_Health_Score])</f>
        <v>6.2269503546099294</v>
      </c>
    </row>
    <row r="168" spans="1:22" x14ac:dyDescent="0.3">
      <c r="A168">
        <v>167</v>
      </c>
      <c r="B168">
        <v>20</v>
      </c>
      <c r="C168" t="s">
        <v>12</v>
      </c>
      <c r="D168" t="s">
        <v>13</v>
      </c>
      <c r="E168" t="s">
        <v>14</v>
      </c>
      <c r="F168">
        <v>4.9000000000000004</v>
      </c>
      <c r="G168" t="s">
        <v>15</v>
      </c>
      <c r="H168" t="s">
        <v>16</v>
      </c>
      <c r="I168">
        <v>6.4</v>
      </c>
      <c r="J168">
        <v>5</v>
      </c>
      <c r="K168" t="s">
        <v>23</v>
      </c>
      <c r="L168">
        <v>7</v>
      </c>
      <c r="M168" t="str">
        <f>IF(Table1[[#This Row],[Age]]&lt;=18,"Teen",IF(Table1[[#This Row],[Age]]&lt;=21,"Young Adult","Adult"))</f>
        <v>Young Adult</v>
      </c>
      <c r="N168" t="str">
        <f t="shared" si="10"/>
        <v>High</v>
      </c>
      <c r="O168" t="str">
        <f t="shared" si="11"/>
        <v>High</v>
      </c>
      <c r="P168" t="str">
        <f t="shared" si="12"/>
        <v>Average</v>
      </c>
      <c r="Q168">
        <f t="shared" si="13"/>
        <v>1</v>
      </c>
      <c r="R168" t="str">
        <f t="shared" si="14"/>
        <v>Average</v>
      </c>
      <c r="S168">
        <f>COUNTIF('Students Social Media Addiction'!O:O,"High")/COUNTA(Table1[Student_ID])</f>
        <v>0.5787234042553191</v>
      </c>
      <c r="T168">
        <f>AVERAGE(Table1[Academic Impact Flag])</f>
        <v>0.64255319148936174</v>
      </c>
      <c r="U168">
        <f>AVERAGE(Table1[Sleep_Hours_Per_Night])</f>
        <v>6.868936170212768</v>
      </c>
      <c r="V168">
        <f>AVERAGE(Table1[Mental_Health_Score])</f>
        <v>6.2269503546099294</v>
      </c>
    </row>
    <row r="169" spans="1:22" x14ac:dyDescent="0.3">
      <c r="A169">
        <v>168</v>
      </c>
      <c r="B169">
        <v>22</v>
      </c>
      <c r="C169" t="s">
        <v>18</v>
      </c>
      <c r="D169" t="s">
        <v>19</v>
      </c>
      <c r="E169" t="s">
        <v>20</v>
      </c>
      <c r="F169">
        <v>5.2</v>
      </c>
      <c r="G169" t="s">
        <v>31</v>
      </c>
      <c r="H169" t="s">
        <v>22</v>
      </c>
      <c r="I169">
        <v>7.1</v>
      </c>
      <c r="J169">
        <v>7</v>
      </c>
      <c r="K169" t="s">
        <v>17</v>
      </c>
      <c r="L169">
        <v>6</v>
      </c>
      <c r="M169" t="str">
        <f>IF(Table1[[#This Row],[Age]]&lt;=18,"Teen",IF(Table1[[#This Row],[Age]]&lt;=21,"Young Adult","Adult"))</f>
        <v>Adult</v>
      </c>
      <c r="N169" t="str">
        <f t="shared" si="10"/>
        <v>High</v>
      </c>
      <c r="O169" t="str">
        <f t="shared" si="11"/>
        <v>Medium</v>
      </c>
      <c r="P169" t="str">
        <f t="shared" si="12"/>
        <v>Healthy</v>
      </c>
      <c r="Q169">
        <f t="shared" si="13"/>
        <v>0</v>
      </c>
      <c r="R169" t="str">
        <f t="shared" si="14"/>
        <v>Good</v>
      </c>
      <c r="S169">
        <f>COUNTIF('Students Social Media Addiction'!O:O,"High")/COUNTA(Table1[Student_ID])</f>
        <v>0.5787234042553191</v>
      </c>
      <c r="T169">
        <f>AVERAGE(Table1[Academic Impact Flag])</f>
        <v>0.64255319148936174</v>
      </c>
      <c r="U169">
        <f>AVERAGE(Table1[Sleep_Hours_Per_Night])</f>
        <v>6.868936170212768</v>
      </c>
      <c r="V169">
        <f>AVERAGE(Table1[Mental_Health_Score])</f>
        <v>6.2269503546099294</v>
      </c>
    </row>
    <row r="170" spans="1:22" x14ac:dyDescent="0.3">
      <c r="A170">
        <v>169</v>
      </c>
      <c r="B170">
        <v>19</v>
      </c>
      <c r="C170" t="s">
        <v>12</v>
      </c>
      <c r="D170" t="s">
        <v>13</v>
      </c>
      <c r="E170" t="s">
        <v>135</v>
      </c>
      <c r="F170">
        <v>5.6</v>
      </c>
      <c r="G170" t="s">
        <v>25</v>
      </c>
      <c r="H170" t="s">
        <v>16</v>
      </c>
      <c r="I170">
        <v>5.8</v>
      </c>
      <c r="J170">
        <v>6</v>
      </c>
      <c r="K170" t="s">
        <v>23</v>
      </c>
      <c r="L170">
        <v>8</v>
      </c>
      <c r="M170" t="str">
        <f>IF(Table1[[#This Row],[Age]]&lt;=18,"Teen",IF(Table1[[#This Row],[Age]]&lt;=21,"Young Adult","Adult"))</f>
        <v>Young Adult</v>
      </c>
      <c r="N170" t="str">
        <f t="shared" si="10"/>
        <v>High</v>
      </c>
      <c r="O170" t="str">
        <f t="shared" si="11"/>
        <v>High</v>
      </c>
      <c r="P170" t="str">
        <f t="shared" si="12"/>
        <v>Poor</v>
      </c>
      <c r="Q170">
        <f t="shared" si="13"/>
        <v>1</v>
      </c>
      <c r="R170" t="str">
        <f t="shared" si="14"/>
        <v>Average</v>
      </c>
      <c r="S170">
        <f>COUNTIF('Students Social Media Addiction'!O:O,"High")/COUNTA(Table1[Student_ID])</f>
        <v>0.5787234042553191</v>
      </c>
      <c r="T170">
        <f>AVERAGE(Table1[Academic Impact Flag])</f>
        <v>0.64255319148936174</v>
      </c>
      <c r="U170">
        <f>AVERAGE(Table1[Sleep_Hours_Per_Night])</f>
        <v>6.868936170212768</v>
      </c>
      <c r="V170">
        <f>AVERAGE(Table1[Mental_Health_Score])</f>
        <v>6.2269503546099294</v>
      </c>
    </row>
    <row r="171" spans="1:22" x14ac:dyDescent="0.3">
      <c r="A171">
        <v>170</v>
      </c>
      <c r="B171">
        <v>21</v>
      </c>
      <c r="C171" t="s">
        <v>18</v>
      </c>
      <c r="D171" t="s">
        <v>19</v>
      </c>
      <c r="E171" t="s">
        <v>134</v>
      </c>
      <c r="F171">
        <v>4.5999999999999996</v>
      </c>
      <c r="G171" t="s">
        <v>15</v>
      </c>
      <c r="H171" t="s">
        <v>16</v>
      </c>
      <c r="I171">
        <v>6.5</v>
      </c>
      <c r="J171">
        <v>5</v>
      </c>
      <c r="K171" t="s">
        <v>17</v>
      </c>
      <c r="L171">
        <v>7</v>
      </c>
      <c r="M171" t="str">
        <f>IF(Table1[[#This Row],[Age]]&lt;=18,"Teen",IF(Table1[[#This Row],[Age]]&lt;=21,"Young Adult","Adult"))</f>
        <v>Young Adult</v>
      </c>
      <c r="N171" t="str">
        <f t="shared" si="10"/>
        <v>High</v>
      </c>
      <c r="O171" t="str">
        <f t="shared" si="11"/>
        <v>High</v>
      </c>
      <c r="P171" t="str">
        <f t="shared" si="12"/>
        <v>Average</v>
      </c>
      <c r="Q171">
        <f t="shared" si="13"/>
        <v>1</v>
      </c>
      <c r="R171" t="str">
        <f t="shared" si="14"/>
        <v>Average</v>
      </c>
      <c r="S171">
        <f>COUNTIF('Students Social Media Addiction'!O:O,"High")/COUNTA(Table1[Student_ID])</f>
        <v>0.5787234042553191</v>
      </c>
      <c r="T171">
        <f>AVERAGE(Table1[Academic Impact Flag])</f>
        <v>0.64255319148936174</v>
      </c>
      <c r="U171">
        <f>AVERAGE(Table1[Sleep_Hours_Per_Night])</f>
        <v>6.868936170212768</v>
      </c>
      <c r="V171">
        <f>AVERAGE(Table1[Mental_Health_Score])</f>
        <v>6.2269503546099294</v>
      </c>
    </row>
    <row r="172" spans="1:22" x14ac:dyDescent="0.3">
      <c r="A172">
        <v>171</v>
      </c>
      <c r="B172">
        <v>20</v>
      </c>
      <c r="C172" t="s">
        <v>12</v>
      </c>
      <c r="D172" t="s">
        <v>13</v>
      </c>
      <c r="E172" t="s">
        <v>137</v>
      </c>
      <c r="F172">
        <v>5</v>
      </c>
      <c r="G172" t="s">
        <v>31</v>
      </c>
      <c r="H172" t="s">
        <v>22</v>
      </c>
      <c r="I172">
        <v>7.3</v>
      </c>
      <c r="J172">
        <v>7</v>
      </c>
      <c r="K172" t="s">
        <v>23</v>
      </c>
      <c r="L172">
        <v>5</v>
      </c>
      <c r="M172" t="str">
        <f>IF(Table1[[#This Row],[Age]]&lt;=18,"Teen",IF(Table1[[#This Row],[Age]]&lt;=21,"Young Adult","Adult"))</f>
        <v>Young Adult</v>
      </c>
      <c r="N172" t="str">
        <f t="shared" si="10"/>
        <v>High</v>
      </c>
      <c r="O172" t="str">
        <f t="shared" si="11"/>
        <v>Medium</v>
      </c>
      <c r="P172" t="str">
        <f t="shared" si="12"/>
        <v>Healthy</v>
      </c>
      <c r="Q172">
        <f t="shared" si="13"/>
        <v>0</v>
      </c>
      <c r="R172" t="str">
        <f t="shared" si="14"/>
        <v>Good</v>
      </c>
      <c r="S172">
        <f>COUNTIF('Students Social Media Addiction'!O:O,"High")/COUNTA(Table1[Student_ID])</f>
        <v>0.5787234042553191</v>
      </c>
      <c r="T172">
        <f>AVERAGE(Table1[Academic Impact Flag])</f>
        <v>0.64255319148936174</v>
      </c>
      <c r="U172">
        <f>AVERAGE(Table1[Sleep_Hours_Per_Night])</f>
        <v>6.868936170212768</v>
      </c>
      <c r="V172">
        <f>AVERAGE(Table1[Mental_Health_Score])</f>
        <v>6.2269503546099294</v>
      </c>
    </row>
    <row r="173" spans="1:22" x14ac:dyDescent="0.3">
      <c r="A173">
        <v>172</v>
      </c>
      <c r="B173">
        <v>22</v>
      </c>
      <c r="C173" t="s">
        <v>18</v>
      </c>
      <c r="D173" t="s">
        <v>19</v>
      </c>
      <c r="E173" t="s">
        <v>138</v>
      </c>
      <c r="F173">
        <v>5.3</v>
      </c>
      <c r="G173" t="s">
        <v>25</v>
      </c>
      <c r="H173" t="s">
        <v>16</v>
      </c>
      <c r="I173">
        <v>5.7</v>
      </c>
      <c r="J173">
        <v>6</v>
      </c>
      <c r="K173" t="s">
        <v>17</v>
      </c>
      <c r="L173">
        <v>8</v>
      </c>
      <c r="M173" t="str">
        <f>IF(Table1[[#This Row],[Age]]&lt;=18,"Teen",IF(Table1[[#This Row],[Age]]&lt;=21,"Young Adult","Adult"))</f>
        <v>Adult</v>
      </c>
      <c r="N173" t="str">
        <f t="shared" si="10"/>
        <v>High</v>
      </c>
      <c r="O173" t="str">
        <f t="shared" si="11"/>
        <v>High</v>
      </c>
      <c r="P173" t="str">
        <f t="shared" si="12"/>
        <v>Poor</v>
      </c>
      <c r="Q173">
        <f t="shared" si="13"/>
        <v>1</v>
      </c>
      <c r="R173" t="str">
        <f t="shared" si="14"/>
        <v>Average</v>
      </c>
      <c r="S173">
        <f>COUNTIF('Students Social Media Addiction'!O:O,"High")/COUNTA(Table1[Student_ID])</f>
        <v>0.5787234042553191</v>
      </c>
      <c r="T173">
        <f>AVERAGE(Table1[Academic Impact Flag])</f>
        <v>0.64255319148936174</v>
      </c>
      <c r="U173">
        <f>AVERAGE(Table1[Sleep_Hours_Per_Night])</f>
        <v>6.868936170212768</v>
      </c>
      <c r="V173">
        <f>AVERAGE(Table1[Mental_Health_Score])</f>
        <v>6.2269503546099294</v>
      </c>
    </row>
    <row r="174" spans="1:22" x14ac:dyDescent="0.3">
      <c r="A174">
        <v>173</v>
      </c>
      <c r="B174">
        <v>19</v>
      </c>
      <c r="C174" t="s">
        <v>12</v>
      </c>
      <c r="D174" t="s">
        <v>13</v>
      </c>
      <c r="E174" t="s">
        <v>14</v>
      </c>
      <c r="F174">
        <v>4.8</v>
      </c>
      <c r="G174" t="s">
        <v>15</v>
      </c>
      <c r="H174" t="s">
        <v>16</v>
      </c>
      <c r="I174">
        <v>6.6</v>
      </c>
      <c r="J174">
        <v>5</v>
      </c>
      <c r="K174" t="s">
        <v>23</v>
      </c>
      <c r="L174">
        <v>7</v>
      </c>
      <c r="M174" t="str">
        <f>IF(Table1[[#This Row],[Age]]&lt;=18,"Teen",IF(Table1[[#This Row],[Age]]&lt;=21,"Young Adult","Adult"))</f>
        <v>Young Adult</v>
      </c>
      <c r="N174" t="str">
        <f t="shared" si="10"/>
        <v>High</v>
      </c>
      <c r="O174" t="str">
        <f t="shared" si="11"/>
        <v>High</v>
      </c>
      <c r="P174" t="str">
        <f t="shared" si="12"/>
        <v>Average</v>
      </c>
      <c r="Q174">
        <f t="shared" si="13"/>
        <v>1</v>
      </c>
      <c r="R174" t="str">
        <f t="shared" si="14"/>
        <v>Average</v>
      </c>
      <c r="S174">
        <f>COUNTIF('Students Social Media Addiction'!O:O,"High")/COUNTA(Table1[Student_ID])</f>
        <v>0.5787234042553191</v>
      </c>
      <c r="T174">
        <f>AVERAGE(Table1[Academic Impact Flag])</f>
        <v>0.64255319148936174</v>
      </c>
      <c r="U174">
        <f>AVERAGE(Table1[Sleep_Hours_Per_Night])</f>
        <v>6.868936170212768</v>
      </c>
      <c r="V174">
        <f>AVERAGE(Table1[Mental_Health_Score])</f>
        <v>6.2269503546099294</v>
      </c>
    </row>
    <row r="175" spans="1:22" x14ac:dyDescent="0.3">
      <c r="A175">
        <v>174</v>
      </c>
      <c r="B175">
        <v>21</v>
      </c>
      <c r="C175" t="s">
        <v>18</v>
      </c>
      <c r="D175" t="s">
        <v>19</v>
      </c>
      <c r="E175" t="s">
        <v>20</v>
      </c>
      <c r="F175">
        <v>5.0999999999999996</v>
      </c>
      <c r="G175" t="s">
        <v>31</v>
      </c>
      <c r="H175" t="s">
        <v>22</v>
      </c>
      <c r="I175">
        <v>7.4</v>
      </c>
      <c r="J175">
        <v>7</v>
      </c>
      <c r="K175" t="s">
        <v>17</v>
      </c>
      <c r="L175">
        <v>6</v>
      </c>
      <c r="M175" t="str">
        <f>IF(Table1[[#This Row],[Age]]&lt;=18,"Teen",IF(Table1[[#This Row],[Age]]&lt;=21,"Young Adult","Adult"))</f>
        <v>Young Adult</v>
      </c>
      <c r="N175" t="str">
        <f t="shared" si="10"/>
        <v>High</v>
      </c>
      <c r="O175" t="str">
        <f t="shared" si="11"/>
        <v>Medium</v>
      </c>
      <c r="P175" t="str">
        <f t="shared" si="12"/>
        <v>Healthy</v>
      </c>
      <c r="Q175">
        <f t="shared" si="13"/>
        <v>0</v>
      </c>
      <c r="R175" t="str">
        <f t="shared" si="14"/>
        <v>Good</v>
      </c>
      <c r="S175">
        <f>COUNTIF('Students Social Media Addiction'!O:O,"High")/COUNTA(Table1[Student_ID])</f>
        <v>0.5787234042553191</v>
      </c>
      <c r="T175">
        <f>AVERAGE(Table1[Academic Impact Flag])</f>
        <v>0.64255319148936174</v>
      </c>
      <c r="U175">
        <f>AVERAGE(Table1[Sleep_Hours_Per_Night])</f>
        <v>6.868936170212768</v>
      </c>
      <c r="V175">
        <f>AVERAGE(Table1[Mental_Health_Score])</f>
        <v>6.2269503546099294</v>
      </c>
    </row>
    <row r="176" spans="1:22" x14ac:dyDescent="0.3">
      <c r="A176">
        <v>175</v>
      </c>
      <c r="B176">
        <v>20</v>
      </c>
      <c r="C176" t="s">
        <v>12</v>
      </c>
      <c r="D176" t="s">
        <v>13</v>
      </c>
      <c r="E176" t="s">
        <v>135</v>
      </c>
      <c r="F176">
        <v>5.7</v>
      </c>
      <c r="G176" t="s">
        <v>25</v>
      </c>
      <c r="H176" t="s">
        <v>16</v>
      </c>
      <c r="I176">
        <v>5.6</v>
      </c>
      <c r="J176">
        <v>6</v>
      </c>
      <c r="K176" t="s">
        <v>23</v>
      </c>
      <c r="L176">
        <v>8</v>
      </c>
      <c r="M176" t="str">
        <f>IF(Table1[[#This Row],[Age]]&lt;=18,"Teen",IF(Table1[[#This Row],[Age]]&lt;=21,"Young Adult","Adult"))</f>
        <v>Young Adult</v>
      </c>
      <c r="N176" t="str">
        <f t="shared" si="10"/>
        <v>High</v>
      </c>
      <c r="O176" t="str">
        <f t="shared" si="11"/>
        <v>High</v>
      </c>
      <c r="P176" t="str">
        <f t="shared" si="12"/>
        <v>Poor</v>
      </c>
      <c r="Q176">
        <f t="shared" si="13"/>
        <v>1</v>
      </c>
      <c r="R176" t="str">
        <f t="shared" si="14"/>
        <v>Average</v>
      </c>
      <c r="S176">
        <f>COUNTIF('Students Social Media Addiction'!O:O,"High")/COUNTA(Table1[Student_ID])</f>
        <v>0.5787234042553191</v>
      </c>
      <c r="T176">
        <f>AVERAGE(Table1[Academic Impact Flag])</f>
        <v>0.64255319148936174</v>
      </c>
      <c r="U176">
        <f>AVERAGE(Table1[Sleep_Hours_Per_Night])</f>
        <v>6.868936170212768</v>
      </c>
      <c r="V176">
        <f>AVERAGE(Table1[Mental_Health_Score])</f>
        <v>6.2269503546099294</v>
      </c>
    </row>
    <row r="177" spans="1:22" x14ac:dyDescent="0.3">
      <c r="A177">
        <v>176</v>
      </c>
      <c r="B177">
        <v>22</v>
      </c>
      <c r="C177" t="s">
        <v>18</v>
      </c>
      <c r="D177" t="s">
        <v>19</v>
      </c>
      <c r="E177" t="s">
        <v>134</v>
      </c>
      <c r="F177">
        <v>4.5</v>
      </c>
      <c r="G177" t="s">
        <v>15</v>
      </c>
      <c r="H177" t="s">
        <v>16</v>
      </c>
      <c r="I177">
        <v>6.7</v>
      </c>
      <c r="J177">
        <v>5</v>
      </c>
      <c r="K177" t="s">
        <v>17</v>
      </c>
      <c r="L177">
        <v>7</v>
      </c>
      <c r="M177" t="str">
        <f>IF(Table1[[#This Row],[Age]]&lt;=18,"Teen",IF(Table1[[#This Row],[Age]]&lt;=21,"Young Adult","Adult"))</f>
        <v>Adult</v>
      </c>
      <c r="N177" t="str">
        <f t="shared" si="10"/>
        <v>High</v>
      </c>
      <c r="O177" t="str">
        <f t="shared" si="11"/>
        <v>High</v>
      </c>
      <c r="P177" t="str">
        <f t="shared" si="12"/>
        <v>Average</v>
      </c>
      <c r="Q177">
        <f t="shared" si="13"/>
        <v>1</v>
      </c>
      <c r="R177" t="str">
        <f t="shared" si="14"/>
        <v>Average</v>
      </c>
      <c r="S177">
        <f>COUNTIF('Students Social Media Addiction'!O:O,"High")/COUNTA(Table1[Student_ID])</f>
        <v>0.5787234042553191</v>
      </c>
      <c r="T177">
        <f>AVERAGE(Table1[Academic Impact Flag])</f>
        <v>0.64255319148936174</v>
      </c>
      <c r="U177">
        <f>AVERAGE(Table1[Sleep_Hours_Per_Night])</f>
        <v>6.868936170212768</v>
      </c>
      <c r="V177">
        <f>AVERAGE(Table1[Mental_Health_Score])</f>
        <v>6.2269503546099294</v>
      </c>
    </row>
    <row r="178" spans="1:22" x14ac:dyDescent="0.3">
      <c r="A178">
        <v>177</v>
      </c>
      <c r="B178">
        <v>19</v>
      </c>
      <c r="C178" t="s">
        <v>12</v>
      </c>
      <c r="D178" t="s">
        <v>13</v>
      </c>
      <c r="E178" t="s">
        <v>137</v>
      </c>
      <c r="F178">
        <v>4.9000000000000004</v>
      </c>
      <c r="G178" t="s">
        <v>31</v>
      </c>
      <c r="H178" t="s">
        <v>22</v>
      </c>
      <c r="I178">
        <v>7.5</v>
      </c>
      <c r="J178">
        <v>7</v>
      </c>
      <c r="K178" t="s">
        <v>23</v>
      </c>
      <c r="L178">
        <v>5</v>
      </c>
      <c r="M178" t="str">
        <f>IF(Table1[[#This Row],[Age]]&lt;=18,"Teen",IF(Table1[[#This Row],[Age]]&lt;=21,"Young Adult","Adult"))</f>
        <v>Young Adult</v>
      </c>
      <c r="N178" t="str">
        <f t="shared" si="10"/>
        <v>High</v>
      </c>
      <c r="O178" t="str">
        <f t="shared" si="11"/>
        <v>Medium</v>
      </c>
      <c r="P178" t="str">
        <f t="shared" si="12"/>
        <v>Healthy</v>
      </c>
      <c r="Q178">
        <f t="shared" si="13"/>
        <v>0</v>
      </c>
      <c r="R178" t="str">
        <f t="shared" si="14"/>
        <v>Good</v>
      </c>
      <c r="S178">
        <f>COUNTIF('Students Social Media Addiction'!O:O,"High")/COUNTA(Table1[Student_ID])</f>
        <v>0.5787234042553191</v>
      </c>
      <c r="T178">
        <f>AVERAGE(Table1[Academic Impact Flag])</f>
        <v>0.64255319148936174</v>
      </c>
      <c r="U178">
        <f>AVERAGE(Table1[Sleep_Hours_Per_Night])</f>
        <v>6.868936170212768</v>
      </c>
      <c r="V178">
        <f>AVERAGE(Table1[Mental_Health_Score])</f>
        <v>6.2269503546099294</v>
      </c>
    </row>
    <row r="179" spans="1:22" x14ac:dyDescent="0.3">
      <c r="A179">
        <v>178</v>
      </c>
      <c r="B179">
        <v>21</v>
      </c>
      <c r="C179" t="s">
        <v>18</v>
      </c>
      <c r="D179" t="s">
        <v>19</v>
      </c>
      <c r="E179" t="s">
        <v>138</v>
      </c>
      <c r="F179">
        <v>5.2</v>
      </c>
      <c r="G179" t="s">
        <v>25</v>
      </c>
      <c r="H179" t="s">
        <v>16</v>
      </c>
      <c r="I179">
        <v>5.5</v>
      </c>
      <c r="J179">
        <v>6</v>
      </c>
      <c r="K179" t="s">
        <v>17</v>
      </c>
      <c r="L179">
        <v>8</v>
      </c>
      <c r="M179" t="str">
        <f>IF(Table1[[#This Row],[Age]]&lt;=18,"Teen",IF(Table1[[#This Row],[Age]]&lt;=21,"Young Adult","Adult"))</f>
        <v>Young Adult</v>
      </c>
      <c r="N179" t="str">
        <f t="shared" si="10"/>
        <v>High</v>
      </c>
      <c r="O179" t="str">
        <f t="shared" si="11"/>
        <v>High</v>
      </c>
      <c r="P179" t="str">
        <f t="shared" si="12"/>
        <v>Poor</v>
      </c>
      <c r="Q179">
        <f t="shared" si="13"/>
        <v>1</v>
      </c>
      <c r="R179" t="str">
        <f t="shared" si="14"/>
        <v>Average</v>
      </c>
      <c r="S179">
        <f>COUNTIF('Students Social Media Addiction'!O:O,"High")/COUNTA(Table1[Student_ID])</f>
        <v>0.5787234042553191</v>
      </c>
      <c r="T179">
        <f>AVERAGE(Table1[Academic Impact Flag])</f>
        <v>0.64255319148936174</v>
      </c>
      <c r="U179">
        <f>AVERAGE(Table1[Sleep_Hours_Per_Night])</f>
        <v>6.868936170212768</v>
      </c>
      <c r="V179">
        <f>AVERAGE(Table1[Mental_Health_Score])</f>
        <v>6.2269503546099294</v>
      </c>
    </row>
    <row r="180" spans="1:22" x14ac:dyDescent="0.3">
      <c r="A180">
        <v>179</v>
      </c>
      <c r="B180">
        <v>20</v>
      </c>
      <c r="C180" t="s">
        <v>12</v>
      </c>
      <c r="D180" t="s">
        <v>13</v>
      </c>
      <c r="E180" t="s">
        <v>14</v>
      </c>
      <c r="F180">
        <v>4.7</v>
      </c>
      <c r="G180" t="s">
        <v>15</v>
      </c>
      <c r="H180" t="s">
        <v>16</v>
      </c>
      <c r="I180">
        <v>6.8</v>
      </c>
      <c r="J180">
        <v>5</v>
      </c>
      <c r="K180" t="s">
        <v>23</v>
      </c>
      <c r="L180">
        <v>7</v>
      </c>
      <c r="M180" t="str">
        <f>IF(Table1[[#This Row],[Age]]&lt;=18,"Teen",IF(Table1[[#This Row],[Age]]&lt;=21,"Young Adult","Adult"))</f>
        <v>Young Adult</v>
      </c>
      <c r="N180" t="str">
        <f t="shared" si="10"/>
        <v>High</v>
      </c>
      <c r="O180" t="str">
        <f t="shared" si="11"/>
        <v>High</v>
      </c>
      <c r="P180" t="str">
        <f t="shared" si="12"/>
        <v>Average</v>
      </c>
      <c r="Q180">
        <f t="shared" si="13"/>
        <v>1</v>
      </c>
      <c r="R180" t="str">
        <f t="shared" si="14"/>
        <v>Average</v>
      </c>
      <c r="S180">
        <f>COUNTIF('Students Social Media Addiction'!O:O,"High")/COUNTA(Table1[Student_ID])</f>
        <v>0.5787234042553191</v>
      </c>
      <c r="T180">
        <f>AVERAGE(Table1[Academic Impact Flag])</f>
        <v>0.64255319148936174</v>
      </c>
      <c r="U180">
        <f>AVERAGE(Table1[Sleep_Hours_Per_Night])</f>
        <v>6.868936170212768</v>
      </c>
      <c r="V180">
        <f>AVERAGE(Table1[Mental_Health_Score])</f>
        <v>6.2269503546099294</v>
      </c>
    </row>
    <row r="181" spans="1:22" x14ac:dyDescent="0.3">
      <c r="A181">
        <v>180</v>
      </c>
      <c r="B181">
        <v>22</v>
      </c>
      <c r="C181" t="s">
        <v>18</v>
      </c>
      <c r="D181" t="s">
        <v>19</v>
      </c>
      <c r="E181" t="s">
        <v>20</v>
      </c>
      <c r="F181">
        <v>5</v>
      </c>
      <c r="G181" t="s">
        <v>31</v>
      </c>
      <c r="H181" t="s">
        <v>22</v>
      </c>
      <c r="I181">
        <v>7.6</v>
      </c>
      <c r="J181">
        <v>7</v>
      </c>
      <c r="K181" t="s">
        <v>17</v>
      </c>
      <c r="L181">
        <v>6</v>
      </c>
      <c r="M181" t="str">
        <f>IF(Table1[[#This Row],[Age]]&lt;=18,"Teen",IF(Table1[[#This Row],[Age]]&lt;=21,"Young Adult","Adult"))</f>
        <v>Adult</v>
      </c>
      <c r="N181" t="str">
        <f t="shared" si="10"/>
        <v>High</v>
      </c>
      <c r="O181" t="str">
        <f t="shared" si="11"/>
        <v>Medium</v>
      </c>
      <c r="P181" t="str">
        <f t="shared" si="12"/>
        <v>Healthy</v>
      </c>
      <c r="Q181">
        <f t="shared" si="13"/>
        <v>0</v>
      </c>
      <c r="R181" t="str">
        <f t="shared" si="14"/>
        <v>Good</v>
      </c>
      <c r="S181">
        <f>COUNTIF('Students Social Media Addiction'!O:O,"High")/COUNTA(Table1[Student_ID])</f>
        <v>0.5787234042553191</v>
      </c>
      <c r="T181">
        <f>AVERAGE(Table1[Academic Impact Flag])</f>
        <v>0.64255319148936174</v>
      </c>
      <c r="U181">
        <f>AVERAGE(Table1[Sleep_Hours_Per_Night])</f>
        <v>6.868936170212768</v>
      </c>
      <c r="V181">
        <f>AVERAGE(Table1[Mental_Health_Score])</f>
        <v>6.2269503546099294</v>
      </c>
    </row>
    <row r="182" spans="1:22" x14ac:dyDescent="0.3">
      <c r="A182">
        <v>181</v>
      </c>
      <c r="B182">
        <v>19</v>
      </c>
      <c r="C182" t="s">
        <v>12</v>
      </c>
      <c r="D182" t="s">
        <v>13</v>
      </c>
      <c r="E182" t="s">
        <v>135</v>
      </c>
      <c r="F182">
        <v>5.8</v>
      </c>
      <c r="G182" t="s">
        <v>25</v>
      </c>
      <c r="H182" t="s">
        <v>16</v>
      </c>
      <c r="I182">
        <v>5.4</v>
      </c>
      <c r="J182">
        <v>6</v>
      </c>
      <c r="K182" t="s">
        <v>23</v>
      </c>
      <c r="L182">
        <v>8</v>
      </c>
      <c r="M182" t="str">
        <f>IF(Table1[[#This Row],[Age]]&lt;=18,"Teen",IF(Table1[[#This Row],[Age]]&lt;=21,"Young Adult","Adult"))</f>
        <v>Young Adult</v>
      </c>
      <c r="N182" t="str">
        <f t="shared" si="10"/>
        <v>High</v>
      </c>
      <c r="O182" t="str">
        <f t="shared" si="11"/>
        <v>High</v>
      </c>
      <c r="P182" t="str">
        <f t="shared" si="12"/>
        <v>Poor</v>
      </c>
      <c r="Q182">
        <f t="shared" si="13"/>
        <v>1</v>
      </c>
      <c r="R182" t="str">
        <f t="shared" si="14"/>
        <v>Average</v>
      </c>
      <c r="S182">
        <f>COUNTIF('Students Social Media Addiction'!O:O,"High")/COUNTA(Table1[Student_ID])</f>
        <v>0.5787234042553191</v>
      </c>
      <c r="T182">
        <f>AVERAGE(Table1[Academic Impact Flag])</f>
        <v>0.64255319148936174</v>
      </c>
      <c r="U182">
        <f>AVERAGE(Table1[Sleep_Hours_Per_Night])</f>
        <v>6.868936170212768</v>
      </c>
      <c r="V182">
        <f>AVERAGE(Table1[Mental_Health_Score])</f>
        <v>6.2269503546099294</v>
      </c>
    </row>
    <row r="183" spans="1:22" x14ac:dyDescent="0.3">
      <c r="A183">
        <v>182</v>
      </c>
      <c r="B183">
        <v>21</v>
      </c>
      <c r="C183" t="s">
        <v>18</v>
      </c>
      <c r="D183" t="s">
        <v>19</v>
      </c>
      <c r="E183" t="s">
        <v>134</v>
      </c>
      <c r="F183">
        <v>4.4000000000000004</v>
      </c>
      <c r="G183" t="s">
        <v>15</v>
      </c>
      <c r="H183" t="s">
        <v>16</v>
      </c>
      <c r="I183">
        <v>6.9</v>
      </c>
      <c r="J183">
        <v>5</v>
      </c>
      <c r="K183" t="s">
        <v>17</v>
      </c>
      <c r="L183">
        <v>7</v>
      </c>
      <c r="M183" t="str">
        <f>IF(Table1[[#This Row],[Age]]&lt;=18,"Teen",IF(Table1[[#This Row],[Age]]&lt;=21,"Young Adult","Adult"))</f>
        <v>Young Adult</v>
      </c>
      <c r="N183" t="str">
        <f t="shared" si="10"/>
        <v>High</v>
      </c>
      <c r="O183" t="str">
        <f t="shared" si="11"/>
        <v>High</v>
      </c>
      <c r="P183" t="str">
        <f t="shared" si="12"/>
        <v>Average</v>
      </c>
      <c r="Q183">
        <f t="shared" si="13"/>
        <v>1</v>
      </c>
      <c r="R183" t="str">
        <f t="shared" si="14"/>
        <v>Average</v>
      </c>
      <c r="S183">
        <f>COUNTIF('Students Social Media Addiction'!O:O,"High")/COUNTA(Table1[Student_ID])</f>
        <v>0.5787234042553191</v>
      </c>
      <c r="T183">
        <f>AVERAGE(Table1[Academic Impact Flag])</f>
        <v>0.64255319148936174</v>
      </c>
      <c r="U183">
        <f>AVERAGE(Table1[Sleep_Hours_Per_Night])</f>
        <v>6.868936170212768</v>
      </c>
      <c r="V183">
        <f>AVERAGE(Table1[Mental_Health_Score])</f>
        <v>6.2269503546099294</v>
      </c>
    </row>
    <row r="184" spans="1:22" x14ac:dyDescent="0.3">
      <c r="A184">
        <v>183</v>
      </c>
      <c r="B184">
        <v>20</v>
      </c>
      <c r="C184" t="s">
        <v>12</v>
      </c>
      <c r="D184" t="s">
        <v>13</v>
      </c>
      <c r="E184" t="s">
        <v>137</v>
      </c>
      <c r="F184">
        <v>4.8</v>
      </c>
      <c r="G184" t="s">
        <v>31</v>
      </c>
      <c r="H184" t="s">
        <v>22</v>
      </c>
      <c r="I184">
        <v>7.7</v>
      </c>
      <c r="J184">
        <v>7</v>
      </c>
      <c r="K184" t="s">
        <v>23</v>
      </c>
      <c r="L184">
        <v>5</v>
      </c>
      <c r="M184" t="str">
        <f>IF(Table1[[#This Row],[Age]]&lt;=18,"Teen",IF(Table1[[#This Row],[Age]]&lt;=21,"Young Adult","Adult"))</f>
        <v>Young Adult</v>
      </c>
      <c r="N184" t="str">
        <f t="shared" si="10"/>
        <v>High</v>
      </c>
      <c r="O184" t="str">
        <f t="shared" si="11"/>
        <v>Medium</v>
      </c>
      <c r="P184" t="str">
        <f t="shared" si="12"/>
        <v>Healthy</v>
      </c>
      <c r="Q184">
        <f t="shared" si="13"/>
        <v>0</v>
      </c>
      <c r="R184" t="str">
        <f t="shared" si="14"/>
        <v>Good</v>
      </c>
      <c r="S184">
        <f>COUNTIF('Students Social Media Addiction'!O:O,"High")/COUNTA(Table1[Student_ID])</f>
        <v>0.5787234042553191</v>
      </c>
      <c r="T184">
        <f>AVERAGE(Table1[Academic Impact Flag])</f>
        <v>0.64255319148936174</v>
      </c>
      <c r="U184">
        <f>AVERAGE(Table1[Sleep_Hours_Per_Night])</f>
        <v>6.868936170212768</v>
      </c>
      <c r="V184">
        <f>AVERAGE(Table1[Mental_Health_Score])</f>
        <v>6.2269503546099294</v>
      </c>
    </row>
    <row r="185" spans="1:22" x14ac:dyDescent="0.3">
      <c r="A185">
        <v>184</v>
      </c>
      <c r="B185">
        <v>22</v>
      </c>
      <c r="C185" t="s">
        <v>18</v>
      </c>
      <c r="D185" t="s">
        <v>19</v>
      </c>
      <c r="E185" t="s">
        <v>138</v>
      </c>
      <c r="F185">
        <v>5.0999999999999996</v>
      </c>
      <c r="G185" t="s">
        <v>25</v>
      </c>
      <c r="H185" t="s">
        <v>16</v>
      </c>
      <c r="I185">
        <v>5.3</v>
      </c>
      <c r="J185">
        <v>6</v>
      </c>
      <c r="K185" t="s">
        <v>17</v>
      </c>
      <c r="L185">
        <v>8</v>
      </c>
      <c r="M185" t="str">
        <f>IF(Table1[[#This Row],[Age]]&lt;=18,"Teen",IF(Table1[[#This Row],[Age]]&lt;=21,"Young Adult","Adult"))</f>
        <v>Adult</v>
      </c>
      <c r="N185" t="str">
        <f t="shared" si="10"/>
        <v>High</v>
      </c>
      <c r="O185" t="str">
        <f t="shared" si="11"/>
        <v>High</v>
      </c>
      <c r="P185" t="str">
        <f t="shared" si="12"/>
        <v>Poor</v>
      </c>
      <c r="Q185">
        <f t="shared" si="13"/>
        <v>1</v>
      </c>
      <c r="R185" t="str">
        <f t="shared" si="14"/>
        <v>Average</v>
      </c>
      <c r="S185">
        <f>COUNTIF('Students Social Media Addiction'!O:O,"High")/COUNTA(Table1[Student_ID])</f>
        <v>0.5787234042553191</v>
      </c>
      <c r="T185">
        <f>AVERAGE(Table1[Academic Impact Flag])</f>
        <v>0.64255319148936174</v>
      </c>
      <c r="U185">
        <f>AVERAGE(Table1[Sleep_Hours_Per_Night])</f>
        <v>6.868936170212768</v>
      </c>
      <c r="V185">
        <f>AVERAGE(Table1[Mental_Health_Score])</f>
        <v>6.2269503546099294</v>
      </c>
    </row>
    <row r="186" spans="1:22" x14ac:dyDescent="0.3">
      <c r="A186">
        <v>185</v>
      </c>
      <c r="B186">
        <v>19</v>
      </c>
      <c r="C186" t="s">
        <v>12</v>
      </c>
      <c r="D186" t="s">
        <v>13</v>
      </c>
      <c r="E186" t="s">
        <v>14</v>
      </c>
      <c r="F186">
        <v>4.5999999999999996</v>
      </c>
      <c r="G186" t="s">
        <v>15</v>
      </c>
      <c r="H186" t="s">
        <v>16</v>
      </c>
      <c r="I186">
        <v>7</v>
      </c>
      <c r="J186">
        <v>5</v>
      </c>
      <c r="K186" t="s">
        <v>23</v>
      </c>
      <c r="L186">
        <v>7</v>
      </c>
      <c r="M186" t="str">
        <f>IF(Table1[[#This Row],[Age]]&lt;=18,"Teen",IF(Table1[[#This Row],[Age]]&lt;=21,"Young Adult","Adult"))</f>
        <v>Young Adult</v>
      </c>
      <c r="N186" t="str">
        <f t="shared" si="10"/>
        <v>High</v>
      </c>
      <c r="O186" t="str">
        <f t="shared" si="11"/>
        <v>High</v>
      </c>
      <c r="P186" t="str">
        <f t="shared" si="12"/>
        <v>Average</v>
      </c>
      <c r="Q186">
        <f t="shared" si="13"/>
        <v>1</v>
      </c>
      <c r="R186" t="str">
        <f t="shared" si="14"/>
        <v>Average</v>
      </c>
      <c r="S186">
        <f>COUNTIF('Students Social Media Addiction'!O:O,"High")/COUNTA(Table1[Student_ID])</f>
        <v>0.5787234042553191</v>
      </c>
      <c r="T186">
        <f>AVERAGE(Table1[Academic Impact Flag])</f>
        <v>0.64255319148936174</v>
      </c>
      <c r="U186">
        <f>AVERAGE(Table1[Sleep_Hours_Per_Night])</f>
        <v>6.868936170212768</v>
      </c>
      <c r="V186">
        <f>AVERAGE(Table1[Mental_Health_Score])</f>
        <v>6.2269503546099294</v>
      </c>
    </row>
    <row r="187" spans="1:22" x14ac:dyDescent="0.3">
      <c r="A187">
        <v>186</v>
      </c>
      <c r="B187">
        <v>21</v>
      </c>
      <c r="C187" t="s">
        <v>18</v>
      </c>
      <c r="D187" t="s">
        <v>19</v>
      </c>
      <c r="E187" t="s">
        <v>20</v>
      </c>
      <c r="F187">
        <v>4.9000000000000004</v>
      </c>
      <c r="G187" t="s">
        <v>31</v>
      </c>
      <c r="H187" t="s">
        <v>22</v>
      </c>
      <c r="I187">
        <v>7.8</v>
      </c>
      <c r="J187">
        <v>7</v>
      </c>
      <c r="K187" t="s">
        <v>17</v>
      </c>
      <c r="L187">
        <v>6</v>
      </c>
      <c r="M187" t="str">
        <f>IF(Table1[[#This Row],[Age]]&lt;=18,"Teen",IF(Table1[[#This Row],[Age]]&lt;=21,"Young Adult","Adult"))</f>
        <v>Young Adult</v>
      </c>
      <c r="N187" t="str">
        <f t="shared" si="10"/>
        <v>High</v>
      </c>
      <c r="O187" t="str">
        <f t="shared" si="11"/>
        <v>Medium</v>
      </c>
      <c r="P187" t="str">
        <f t="shared" si="12"/>
        <v>Healthy</v>
      </c>
      <c r="Q187">
        <f t="shared" si="13"/>
        <v>0</v>
      </c>
      <c r="R187" t="str">
        <f t="shared" si="14"/>
        <v>Good</v>
      </c>
      <c r="S187">
        <f>COUNTIF('Students Social Media Addiction'!O:O,"High")/COUNTA(Table1[Student_ID])</f>
        <v>0.5787234042553191</v>
      </c>
      <c r="T187">
        <f>AVERAGE(Table1[Academic Impact Flag])</f>
        <v>0.64255319148936174</v>
      </c>
      <c r="U187">
        <f>AVERAGE(Table1[Sleep_Hours_Per_Night])</f>
        <v>6.868936170212768</v>
      </c>
      <c r="V187">
        <f>AVERAGE(Table1[Mental_Health_Score])</f>
        <v>6.2269503546099294</v>
      </c>
    </row>
    <row r="188" spans="1:22" x14ac:dyDescent="0.3">
      <c r="A188">
        <v>187</v>
      </c>
      <c r="B188">
        <v>20</v>
      </c>
      <c r="C188" t="s">
        <v>12</v>
      </c>
      <c r="D188" t="s">
        <v>13</v>
      </c>
      <c r="E188" t="s">
        <v>135</v>
      </c>
      <c r="F188">
        <v>5.9</v>
      </c>
      <c r="G188" t="s">
        <v>25</v>
      </c>
      <c r="H188" t="s">
        <v>16</v>
      </c>
      <c r="I188">
        <v>5.2</v>
      </c>
      <c r="J188">
        <v>6</v>
      </c>
      <c r="K188" t="s">
        <v>23</v>
      </c>
      <c r="L188">
        <v>8</v>
      </c>
      <c r="M188" t="str">
        <f>IF(Table1[[#This Row],[Age]]&lt;=18,"Teen",IF(Table1[[#This Row],[Age]]&lt;=21,"Young Adult","Adult"))</f>
        <v>Young Adult</v>
      </c>
      <c r="N188" t="str">
        <f t="shared" si="10"/>
        <v>High</v>
      </c>
      <c r="O188" t="str">
        <f t="shared" si="11"/>
        <v>High</v>
      </c>
      <c r="P188" t="str">
        <f t="shared" si="12"/>
        <v>Poor</v>
      </c>
      <c r="Q188">
        <f t="shared" si="13"/>
        <v>1</v>
      </c>
      <c r="R188" t="str">
        <f t="shared" si="14"/>
        <v>Average</v>
      </c>
      <c r="S188">
        <f>COUNTIF('Students Social Media Addiction'!O:O,"High")/COUNTA(Table1[Student_ID])</f>
        <v>0.5787234042553191</v>
      </c>
      <c r="T188">
        <f>AVERAGE(Table1[Academic Impact Flag])</f>
        <v>0.64255319148936174</v>
      </c>
      <c r="U188">
        <f>AVERAGE(Table1[Sleep_Hours_Per_Night])</f>
        <v>6.868936170212768</v>
      </c>
      <c r="V188">
        <f>AVERAGE(Table1[Mental_Health_Score])</f>
        <v>6.2269503546099294</v>
      </c>
    </row>
    <row r="189" spans="1:22" x14ac:dyDescent="0.3">
      <c r="A189">
        <v>188</v>
      </c>
      <c r="B189">
        <v>22</v>
      </c>
      <c r="C189" t="s">
        <v>18</v>
      </c>
      <c r="D189" t="s">
        <v>19</v>
      </c>
      <c r="E189" t="s">
        <v>134</v>
      </c>
      <c r="F189">
        <v>4.3</v>
      </c>
      <c r="G189" t="s">
        <v>15</v>
      </c>
      <c r="H189" t="s">
        <v>16</v>
      </c>
      <c r="I189">
        <v>7.1</v>
      </c>
      <c r="J189">
        <v>5</v>
      </c>
      <c r="K189" t="s">
        <v>17</v>
      </c>
      <c r="L189">
        <v>7</v>
      </c>
      <c r="M189" t="str">
        <f>IF(Table1[[#This Row],[Age]]&lt;=18,"Teen",IF(Table1[[#This Row],[Age]]&lt;=21,"Young Adult","Adult"))</f>
        <v>Adult</v>
      </c>
      <c r="N189" t="str">
        <f t="shared" si="10"/>
        <v>High</v>
      </c>
      <c r="O189" t="str">
        <f t="shared" si="11"/>
        <v>High</v>
      </c>
      <c r="P189" t="str">
        <f t="shared" si="12"/>
        <v>Healthy</v>
      </c>
      <c r="Q189">
        <f t="shared" si="13"/>
        <v>1</v>
      </c>
      <c r="R189" t="str">
        <f t="shared" si="14"/>
        <v>Average</v>
      </c>
      <c r="S189">
        <f>COUNTIF('Students Social Media Addiction'!O:O,"High")/COUNTA(Table1[Student_ID])</f>
        <v>0.5787234042553191</v>
      </c>
      <c r="T189">
        <f>AVERAGE(Table1[Academic Impact Flag])</f>
        <v>0.64255319148936174</v>
      </c>
      <c r="U189">
        <f>AVERAGE(Table1[Sleep_Hours_Per_Night])</f>
        <v>6.868936170212768</v>
      </c>
      <c r="V189">
        <f>AVERAGE(Table1[Mental_Health_Score])</f>
        <v>6.2269503546099294</v>
      </c>
    </row>
    <row r="190" spans="1:22" x14ac:dyDescent="0.3">
      <c r="A190">
        <v>189</v>
      </c>
      <c r="B190">
        <v>19</v>
      </c>
      <c r="C190" t="s">
        <v>12</v>
      </c>
      <c r="D190" t="s">
        <v>13</v>
      </c>
      <c r="E190" t="s">
        <v>137</v>
      </c>
      <c r="F190">
        <v>4.7</v>
      </c>
      <c r="G190" t="s">
        <v>31</v>
      </c>
      <c r="H190" t="s">
        <v>22</v>
      </c>
      <c r="I190">
        <v>7.9</v>
      </c>
      <c r="J190">
        <v>7</v>
      </c>
      <c r="K190" t="s">
        <v>23</v>
      </c>
      <c r="L190">
        <v>5</v>
      </c>
      <c r="M190" t="str">
        <f>IF(Table1[[#This Row],[Age]]&lt;=18,"Teen",IF(Table1[[#This Row],[Age]]&lt;=21,"Young Adult","Adult"))</f>
        <v>Young Adult</v>
      </c>
      <c r="N190" t="str">
        <f t="shared" si="10"/>
        <v>High</v>
      </c>
      <c r="O190" t="str">
        <f t="shared" si="11"/>
        <v>Medium</v>
      </c>
      <c r="P190" t="str">
        <f t="shared" si="12"/>
        <v>Healthy</v>
      </c>
      <c r="Q190">
        <f t="shared" si="13"/>
        <v>0</v>
      </c>
      <c r="R190" t="str">
        <f t="shared" si="14"/>
        <v>Good</v>
      </c>
      <c r="S190">
        <f>COUNTIF('Students Social Media Addiction'!O:O,"High")/COUNTA(Table1[Student_ID])</f>
        <v>0.5787234042553191</v>
      </c>
      <c r="T190">
        <f>AVERAGE(Table1[Academic Impact Flag])</f>
        <v>0.64255319148936174</v>
      </c>
      <c r="U190">
        <f>AVERAGE(Table1[Sleep_Hours_Per_Night])</f>
        <v>6.868936170212768</v>
      </c>
      <c r="V190">
        <f>AVERAGE(Table1[Mental_Health_Score])</f>
        <v>6.2269503546099294</v>
      </c>
    </row>
    <row r="191" spans="1:22" x14ac:dyDescent="0.3">
      <c r="A191">
        <v>190</v>
      </c>
      <c r="B191">
        <v>21</v>
      </c>
      <c r="C191" t="s">
        <v>18</v>
      </c>
      <c r="D191" t="s">
        <v>19</v>
      </c>
      <c r="E191" t="s">
        <v>138</v>
      </c>
      <c r="F191">
        <v>5</v>
      </c>
      <c r="G191" t="s">
        <v>25</v>
      </c>
      <c r="H191" t="s">
        <v>16</v>
      </c>
      <c r="I191">
        <v>5.0999999999999996</v>
      </c>
      <c r="J191">
        <v>6</v>
      </c>
      <c r="K191" t="s">
        <v>17</v>
      </c>
      <c r="L191">
        <v>8</v>
      </c>
      <c r="M191" t="str">
        <f>IF(Table1[[#This Row],[Age]]&lt;=18,"Teen",IF(Table1[[#This Row],[Age]]&lt;=21,"Young Adult","Adult"))</f>
        <v>Young Adult</v>
      </c>
      <c r="N191" t="str">
        <f t="shared" si="10"/>
        <v>High</v>
      </c>
      <c r="O191" t="str">
        <f t="shared" si="11"/>
        <v>High</v>
      </c>
      <c r="P191" t="str">
        <f t="shared" si="12"/>
        <v>Poor</v>
      </c>
      <c r="Q191">
        <f t="shared" si="13"/>
        <v>1</v>
      </c>
      <c r="R191" t="str">
        <f t="shared" si="14"/>
        <v>Average</v>
      </c>
      <c r="S191">
        <f>COUNTIF('Students Social Media Addiction'!O:O,"High")/COUNTA(Table1[Student_ID])</f>
        <v>0.5787234042553191</v>
      </c>
      <c r="T191">
        <f>AVERAGE(Table1[Academic Impact Flag])</f>
        <v>0.64255319148936174</v>
      </c>
      <c r="U191">
        <f>AVERAGE(Table1[Sleep_Hours_Per_Night])</f>
        <v>6.868936170212768</v>
      </c>
      <c r="V191">
        <f>AVERAGE(Table1[Mental_Health_Score])</f>
        <v>6.2269503546099294</v>
      </c>
    </row>
    <row r="192" spans="1:22" x14ac:dyDescent="0.3">
      <c r="A192">
        <v>191</v>
      </c>
      <c r="B192">
        <v>20</v>
      </c>
      <c r="C192" t="s">
        <v>12</v>
      </c>
      <c r="D192" t="s">
        <v>13</v>
      </c>
      <c r="E192" t="s">
        <v>14</v>
      </c>
      <c r="F192">
        <v>4.5</v>
      </c>
      <c r="G192" t="s">
        <v>15</v>
      </c>
      <c r="H192" t="s">
        <v>16</v>
      </c>
      <c r="I192">
        <v>7.2</v>
      </c>
      <c r="J192">
        <v>5</v>
      </c>
      <c r="K192" t="s">
        <v>23</v>
      </c>
      <c r="L192">
        <v>7</v>
      </c>
      <c r="M192" t="str">
        <f>IF(Table1[[#This Row],[Age]]&lt;=18,"Teen",IF(Table1[[#This Row],[Age]]&lt;=21,"Young Adult","Adult"))</f>
        <v>Young Adult</v>
      </c>
      <c r="N192" t="str">
        <f t="shared" si="10"/>
        <v>High</v>
      </c>
      <c r="O192" t="str">
        <f t="shared" si="11"/>
        <v>High</v>
      </c>
      <c r="P192" t="str">
        <f t="shared" si="12"/>
        <v>Healthy</v>
      </c>
      <c r="Q192">
        <f t="shared" si="13"/>
        <v>1</v>
      </c>
      <c r="R192" t="str">
        <f t="shared" si="14"/>
        <v>Average</v>
      </c>
      <c r="S192">
        <f>COUNTIF('Students Social Media Addiction'!O:O,"High")/COUNTA(Table1[Student_ID])</f>
        <v>0.5787234042553191</v>
      </c>
      <c r="T192">
        <f>AVERAGE(Table1[Academic Impact Flag])</f>
        <v>0.64255319148936174</v>
      </c>
      <c r="U192">
        <f>AVERAGE(Table1[Sleep_Hours_Per_Night])</f>
        <v>6.868936170212768</v>
      </c>
      <c r="V192">
        <f>AVERAGE(Table1[Mental_Health_Score])</f>
        <v>6.2269503546099294</v>
      </c>
    </row>
    <row r="193" spans="1:22" x14ac:dyDescent="0.3">
      <c r="A193">
        <v>192</v>
      </c>
      <c r="B193">
        <v>22</v>
      </c>
      <c r="C193" t="s">
        <v>18</v>
      </c>
      <c r="D193" t="s">
        <v>19</v>
      </c>
      <c r="E193" t="s">
        <v>20</v>
      </c>
      <c r="F193">
        <v>4.8</v>
      </c>
      <c r="G193" t="s">
        <v>31</v>
      </c>
      <c r="H193" t="s">
        <v>22</v>
      </c>
      <c r="I193">
        <v>8</v>
      </c>
      <c r="J193">
        <v>7</v>
      </c>
      <c r="K193" t="s">
        <v>17</v>
      </c>
      <c r="L193">
        <v>6</v>
      </c>
      <c r="M193" t="str">
        <f>IF(Table1[[#This Row],[Age]]&lt;=18,"Teen",IF(Table1[[#This Row],[Age]]&lt;=21,"Young Adult","Adult"))</f>
        <v>Adult</v>
      </c>
      <c r="N193" t="str">
        <f t="shared" si="10"/>
        <v>High</v>
      </c>
      <c r="O193" t="str">
        <f t="shared" si="11"/>
        <v>Medium</v>
      </c>
      <c r="P193" t="str">
        <f t="shared" si="12"/>
        <v>Healthy</v>
      </c>
      <c r="Q193">
        <f t="shared" si="13"/>
        <v>0</v>
      </c>
      <c r="R193" t="str">
        <f t="shared" si="14"/>
        <v>Good</v>
      </c>
      <c r="S193">
        <f>COUNTIF('Students Social Media Addiction'!O:O,"High")/COUNTA(Table1[Student_ID])</f>
        <v>0.5787234042553191</v>
      </c>
      <c r="T193">
        <f>AVERAGE(Table1[Academic Impact Flag])</f>
        <v>0.64255319148936174</v>
      </c>
      <c r="U193">
        <f>AVERAGE(Table1[Sleep_Hours_Per_Night])</f>
        <v>6.868936170212768</v>
      </c>
      <c r="V193">
        <f>AVERAGE(Table1[Mental_Health_Score])</f>
        <v>6.2269503546099294</v>
      </c>
    </row>
    <row r="194" spans="1:22" x14ac:dyDescent="0.3">
      <c r="A194">
        <v>193</v>
      </c>
      <c r="B194">
        <v>19</v>
      </c>
      <c r="C194" t="s">
        <v>12</v>
      </c>
      <c r="D194" t="s">
        <v>13</v>
      </c>
      <c r="E194" t="s">
        <v>135</v>
      </c>
      <c r="F194">
        <v>6</v>
      </c>
      <c r="G194" t="s">
        <v>25</v>
      </c>
      <c r="H194" t="s">
        <v>16</v>
      </c>
      <c r="I194">
        <v>5</v>
      </c>
      <c r="J194">
        <v>6</v>
      </c>
      <c r="K194" t="s">
        <v>23</v>
      </c>
      <c r="L194">
        <v>8</v>
      </c>
      <c r="M194" t="str">
        <f>IF(Table1[[#This Row],[Age]]&lt;=18,"Teen",IF(Table1[[#This Row],[Age]]&lt;=21,"Young Adult","Adult"))</f>
        <v>Young Adult</v>
      </c>
      <c r="N194" t="str">
        <f t="shared" ref="N194:N257" si="15">IF(F194&lt;2,"Low",
IF(F194&lt;4,"Moderate",
IF(F194&lt;6,"High","Very High")))</f>
        <v>Very High</v>
      </c>
      <c r="O194" t="str">
        <f t="shared" ref="O194:O257" si="16">IF(L194&lt;=3,"Low",
IF(L194&lt;=6,"Medium","High"))</f>
        <v>High</v>
      </c>
      <c r="P194" t="str">
        <f t="shared" ref="P194:P257" si="17">IF(I194&lt;6,"Poor",
IF(I194&lt;=7,"Average","Healthy"))</f>
        <v>Poor</v>
      </c>
      <c r="Q194">
        <f t="shared" ref="Q194:Q257" si="18">IF(H194="Yes",1,0)</f>
        <v>1</v>
      </c>
      <c r="R194" t="str">
        <f t="shared" ref="R194:R257" si="19">IF(J194&lt;=4,"Poor",
IF(J194&lt;=6,"Average","Good"))</f>
        <v>Average</v>
      </c>
      <c r="S194">
        <f>COUNTIF('Students Social Media Addiction'!O:O,"High")/COUNTA(Table1[Student_ID])</f>
        <v>0.5787234042553191</v>
      </c>
      <c r="T194">
        <f>AVERAGE(Table1[Academic Impact Flag])</f>
        <v>0.64255319148936174</v>
      </c>
      <c r="U194">
        <f>AVERAGE(Table1[Sleep_Hours_Per_Night])</f>
        <v>6.868936170212768</v>
      </c>
      <c r="V194">
        <f>AVERAGE(Table1[Mental_Health_Score])</f>
        <v>6.2269503546099294</v>
      </c>
    </row>
    <row r="195" spans="1:22" x14ac:dyDescent="0.3">
      <c r="A195">
        <v>194</v>
      </c>
      <c r="B195">
        <v>21</v>
      </c>
      <c r="C195" t="s">
        <v>18</v>
      </c>
      <c r="D195" t="s">
        <v>19</v>
      </c>
      <c r="E195" t="s">
        <v>134</v>
      </c>
      <c r="F195">
        <v>4.2</v>
      </c>
      <c r="G195" t="s">
        <v>15</v>
      </c>
      <c r="H195" t="s">
        <v>16</v>
      </c>
      <c r="I195">
        <v>7.3</v>
      </c>
      <c r="J195">
        <v>5</v>
      </c>
      <c r="K195" t="s">
        <v>17</v>
      </c>
      <c r="L195">
        <v>7</v>
      </c>
      <c r="M195" t="str">
        <f>IF(Table1[[#This Row],[Age]]&lt;=18,"Teen",IF(Table1[[#This Row],[Age]]&lt;=21,"Young Adult","Adult"))</f>
        <v>Young Adult</v>
      </c>
      <c r="N195" t="str">
        <f t="shared" si="15"/>
        <v>High</v>
      </c>
      <c r="O195" t="str">
        <f t="shared" si="16"/>
        <v>High</v>
      </c>
      <c r="P195" t="str">
        <f t="shared" si="17"/>
        <v>Healthy</v>
      </c>
      <c r="Q195">
        <f t="shared" si="18"/>
        <v>1</v>
      </c>
      <c r="R195" t="str">
        <f t="shared" si="19"/>
        <v>Average</v>
      </c>
      <c r="S195">
        <f>COUNTIF('Students Social Media Addiction'!O:O,"High")/COUNTA(Table1[Student_ID])</f>
        <v>0.5787234042553191</v>
      </c>
      <c r="T195">
        <f>AVERAGE(Table1[Academic Impact Flag])</f>
        <v>0.64255319148936174</v>
      </c>
      <c r="U195">
        <f>AVERAGE(Table1[Sleep_Hours_Per_Night])</f>
        <v>6.868936170212768</v>
      </c>
      <c r="V195">
        <f>AVERAGE(Table1[Mental_Health_Score])</f>
        <v>6.2269503546099294</v>
      </c>
    </row>
    <row r="196" spans="1:22" x14ac:dyDescent="0.3">
      <c r="A196">
        <v>195</v>
      </c>
      <c r="B196">
        <v>20</v>
      </c>
      <c r="C196" t="s">
        <v>12</v>
      </c>
      <c r="D196" t="s">
        <v>13</v>
      </c>
      <c r="E196" t="s">
        <v>137</v>
      </c>
      <c r="F196">
        <v>4.5999999999999996</v>
      </c>
      <c r="G196" t="s">
        <v>31</v>
      </c>
      <c r="H196" t="s">
        <v>22</v>
      </c>
      <c r="I196">
        <v>8.1</v>
      </c>
      <c r="J196">
        <v>7</v>
      </c>
      <c r="K196" t="s">
        <v>23</v>
      </c>
      <c r="L196">
        <v>5</v>
      </c>
      <c r="M196" t="str">
        <f>IF(Table1[[#This Row],[Age]]&lt;=18,"Teen",IF(Table1[[#This Row],[Age]]&lt;=21,"Young Adult","Adult"))</f>
        <v>Young Adult</v>
      </c>
      <c r="N196" t="str">
        <f t="shared" si="15"/>
        <v>High</v>
      </c>
      <c r="O196" t="str">
        <f t="shared" si="16"/>
        <v>Medium</v>
      </c>
      <c r="P196" t="str">
        <f t="shared" si="17"/>
        <v>Healthy</v>
      </c>
      <c r="Q196">
        <f t="shared" si="18"/>
        <v>0</v>
      </c>
      <c r="R196" t="str">
        <f t="shared" si="19"/>
        <v>Good</v>
      </c>
      <c r="S196">
        <f>COUNTIF('Students Social Media Addiction'!O:O,"High")/COUNTA(Table1[Student_ID])</f>
        <v>0.5787234042553191</v>
      </c>
      <c r="T196">
        <f>AVERAGE(Table1[Academic Impact Flag])</f>
        <v>0.64255319148936174</v>
      </c>
      <c r="U196">
        <f>AVERAGE(Table1[Sleep_Hours_Per_Night])</f>
        <v>6.868936170212768</v>
      </c>
      <c r="V196">
        <f>AVERAGE(Table1[Mental_Health_Score])</f>
        <v>6.2269503546099294</v>
      </c>
    </row>
    <row r="197" spans="1:22" x14ac:dyDescent="0.3">
      <c r="A197">
        <v>196</v>
      </c>
      <c r="B197">
        <v>22</v>
      </c>
      <c r="C197" t="s">
        <v>18</v>
      </c>
      <c r="D197" t="s">
        <v>19</v>
      </c>
      <c r="E197" t="s">
        <v>138</v>
      </c>
      <c r="F197">
        <v>4.9000000000000004</v>
      </c>
      <c r="G197" t="s">
        <v>25</v>
      </c>
      <c r="H197" t="s">
        <v>16</v>
      </c>
      <c r="I197">
        <v>4.9000000000000004</v>
      </c>
      <c r="J197">
        <v>6</v>
      </c>
      <c r="K197" t="s">
        <v>17</v>
      </c>
      <c r="L197">
        <v>8</v>
      </c>
      <c r="M197" t="str">
        <f>IF(Table1[[#This Row],[Age]]&lt;=18,"Teen",IF(Table1[[#This Row],[Age]]&lt;=21,"Young Adult","Adult"))</f>
        <v>Adult</v>
      </c>
      <c r="N197" t="str">
        <f t="shared" si="15"/>
        <v>High</v>
      </c>
      <c r="O197" t="str">
        <f t="shared" si="16"/>
        <v>High</v>
      </c>
      <c r="P197" t="str">
        <f t="shared" si="17"/>
        <v>Poor</v>
      </c>
      <c r="Q197">
        <f t="shared" si="18"/>
        <v>1</v>
      </c>
      <c r="R197" t="str">
        <f t="shared" si="19"/>
        <v>Average</v>
      </c>
      <c r="S197">
        <f>COUNTIF('Students Social Media Addiction'!O:O,"High")/COUNTA(Table1[Student_ID])</f>
        <v>0.5787234042553191</v>
      </c>
      <c r="T197">
        <f>AVERAGE(Table1[Academic Impact Flag])</f>
        <v>0.64255319148936174</v>
      </c>
      <c r="U197">
        <f>AVERAGE(Table1[Sleep_Hours_Per_Night])</f>
        <v>6.868936170212768</v>
      </c>
      <c r="V197">
        <f>AVERAGE(Table1[Mental_Health_Score])</f>
        <v>6.2269503546099294</v>
      </c>
    </row>
    <row r="198" spans="1:22" x14ac:dyDescent="0.3">
      <c r="A198">
        <v>197</v>
      </c>
      <c r="B198">
        <v>19</v>
      </c>
      <c r="C198" t="s">
        <v>12</v>
      </c>
      <c r="D198" t="s">
        <v>13</v>
      </c>
      <c r="E198" t="s">
        <v>14</v>
      </c>
      <c r="F198">
        <v>4.4000000000000004</v>
      </c>
      <c r="G198" t="s">
        <v>15</v>
      </c>
      <c r="H198" t="s">
        <v>16</v>
      </c>
      <c r="I198">
        <v>7.4</v>
      </c>
      <c r="J198">
        <v>5</v>
      </c>
      <c r="K198" t="s">
        <v>23</v>
      </c>
      <c r="L198">
        <v>7</v>
      </c>
      <c r="M198" t="str">
        <f>IF(Table1[[#This Row],[Age]]&lt;=18,"Teen",IF(Table1[[#This Row],[Age]]&lt;=21,"Young Adult","Adult"))</f>
        <v>Young Adult</v>
      </c>
      <c r="N198" t="str">
        <f t="shared" si="15"/>
        <v>High</v>
      </c>
      <c r="O198" t="str">
        <f t="shared" si="16"/>
        <v>High</v>
      </c>
      <c r="P198" t="str">
        <f t="shared" si="17"/>
        <v>Healthy</v>
      </c>
      <c r="Q198">
        <f t="shared" si="18"/>
        <v>1</v>
      </c>
      <c r="R198" t="str">
        <f t="shared" si="19"/>
        <v>Average</v>
      </c>
      <c r="S198">
        <f>COUNTIF('Students Social Media Addiction'!O:O,"High")/COUNTA(Table1[Student_ID])</f>
        <v>0.5787234042553191</v>
      </c>
      <c r="T198">
        <f>AVERAGE(Table1[Academic Impact Flag])</f>
        <v>0.64255319148936174</v>
      </c>
      <c r="U198">
        <f>AVERAGE(Table1[Sleep_Hours_Per_Night])</f>
        <v>6.868936170212768</v>
      </c>
      <c r="V198">
        <f>AVERAGE(Table1[Mental_Health_Score])</f>
        <v>6.2269503546099294</v>
      </c>
    </row>
    <row r="199" spans="1:22" x14ac:dyDescent="0.3">
      <c r="A199">
        <v>198</v>
      </c>
      <c r="B199">
        <v>21</v>
      </c>
      <c r="C199" t="s">
        <v>18</v>
      </c>
      <c r="D199" t="s">
        <v>19</v>
      </c>
      <c r="E199" t="s">
        <v>20</v>
      </c>
      <c r="F199">
        <v>4.7</v>
      </c>
      <c r="G199" t="s">
        <v>31</v>
      </c>
      <c r="H199" t="s">
        <v>22</v>
      </c>
      <c r="I199">
        <v>8.1999999999999993</v>
      </c>
      <c r="J199">
        <v>7</v>
      </c>
      <c r="K199" t="s">
        <v>17</v>
      </c>
      <c r="L199">
        <v>6</v>
      </c>
      <c r="M199" t="str">
        <f>IF(Table1[[#This Row],[Age]]&lt;=18,"Teen",IF(Table1[[#This Row],[Age]]&lt;=21,"Young Adult","Adult"))</f>
        <v>Young Adult</v>
      </c>
      <c r="N199" t="str">
        <f t="shared" si="15"/>
        <v>High</v>
      </c>
      <c r="O199" t="str">
        <f t="shared" si="16"/>
        <v>Medium</v>
      </c>
      <c r="P199" t="str">
        <f t="shared" si="17"/>
        <v>Healthy</v>
      </c>
      <c r="Q199">
        <f t="shared" si="18"/>
        <v>0</v>
      </c>
      <c r="R199" t="str">
        <f t="shared" si="19"/>
        <v>Good</v>
      </c>
      <c r="S199">
        <f>COUNTIF('Students Social Media Addiction'!O:O,"High")/COUNTA(Table1[Student_ID])</f>
        <v>0.5787234042553191</v>
      </c>
      <c r="T199">
        <f>AVERAGE(Table1[Academic Impact Flag])</f>
        <v>0.64255319148936174</v>
      </c>
      <c r="U199">
        <f>AVERAGE(Table1[Sleep_Hours_Per_Night])</f>
        <v>6.868936170212768</v>
      </c>
      <c r="V199">
        <f>AVERAGE(Table1[Mental_Health_Score])</f>
        <v>6.2269503546099294</v>
      </c>
    </row>
    <row r="200" spans="1:22" x14ac:dyDescent="0.3">
      <c r="A200">
        <v>199</v>
      </c>
      <c r="B200">
        <v>20</v>
      </c>
      <c r="C200" t="s">
        <v>12</v>
      </c>
      <c r="D200" t="s">
        <v>13</v>
      </c>
      <c r="E200" t="s">
        <v>135</v>
      </c>
      <c r="F200">
        <v>6.1</v>
      </c>
      <c r="G200" t="s">
        <v>25</v>
      </c>
      <c r="H200" t="s">
        <v>16</v>
      </c>
      <c r="I200">
        <v>4.8</v>
      </c>
      <c r="J200">
        <v>6</v>
      </c>
      <c r="K200" t="s">
        <v>23</v>
      </c>
      <c r="L200">
        <v>8</v>
      </c>
      <c r="M200" t="str">
        <f>IF(Table1[[#This Row],[Age]]&lt;=18,"Teen",IF(Table1[[#This Row],[Age]]&lt;=21,"Young Adult","Adult"))</f>
        <v>Young Adult</v>
      </c>
      <c r="N200" t="str">
        <f t="shared" si="15"/>
        <v>Very High</v>
      </c>
      <c r="O200" t="str">
        <f t="shared" si="16"/>
        <v>High</v>
      </c>
      <c r="P200" t="str">
        <f t="shared" si="17"/>
        <v>Poor</v>
      </c>
      <c r="Q200">
        <f t="shared" si="18"/>
        <v>1</v>
      </c>
      <c r="R200" t="str">
        <f t="shared" si="19"/>
        <v>Average</v>
      </c>
      <c r="S200">
        <f>COUNTIF('Students Social Media Addiction'!O:O,"High")/COUNTA(Table1[Student_ID])</f>
        <v>0.5787234042553191</v>
      </c>
      <c r="T200">
        <f>AVERAGE(Table1[Academic Impact Flag])</f>
        <v>0.64255319148936174</v>
      </c>
      <c r="U200">
        <f>AVERAGE(Table1[Sleep_Hours_Per_Night])</f>
        <v>6.868936170212768</v>
      </c>
      <c r="V200">
        <f>AVERAGE(Table1[Mental_Health_Score])</f>
        <v>6.2269503546099294</v>
      </c>
    </row>
    <row r="201" spans="1:22" x14ac:dyDescent="0.3">
      <c r="A201">
        <v>200</v>
      </c>
      <c r="B201">
        <v>22</v>
      </c>
      <c r="C201" t="s">
        <v>18</v>
      </c>
      <c r="D201" t="s">
        <v>19</v>
      </c>
      <c r="E201" t="s">
        <v>134</v>
      </c>
      <c r="F201">
        <v>4.0999999999999996</v>
      </c>
      <c r="G201" t="s">
        <v>15</v>
      </c>
      <c r="H201" t="s">
        <v>16</v>
      </c>
      <c r="I201">
        <v>7.5</v>
      </c>
      <c r="J201">
        <v>5</v>
      </c>
      <c r="K201" t="s">
        <v>17</v>
      </c>
      <c r="L201">
        <v>7</v>
      </c>
      <c r="M201" t="str">
        <f>IF(Table1[[#This Row],[Age]]&lt;=18,"Teen",IF(Table1[[#This Row],[Age]]&lt;=21,"Young Adult","Adult"))</f>
        <v>Adult</v>
      </c>
      <c r="N201" t="str">
        <f t="shared" si="15"/>
        <v>High</v>
      </c>
      <c r="O201" t="str">
        <f t="shared" si="16"/>
        <v>High</v>
      </c>
      <c r="P201" t="str">
        <f t="shared" si="17"/>
        <v>Healthy</v>
      </c>
      <c r="Q201">
        <f t="shared" si="18"/>
        <v>1</v>
      </c>
      <c r="R201" t="str">
        <f t="shared" si="19"/>
        <v>Average</v>
      </c>
      <c r="S201">
        <f>COUNTIF('Students Social Media Addiction'!O:O,"High")/COUNTA(Table1[Student_ID])</f>
        <v>0.5787234042553191</v>
      </c>
      <c r="T201">
        <f>AVERAGE(Table1[Academic Impact Flag])</f>
        <v>0.64255319148936174</v>
      </c>
      <c r="U201">
        <f>AVERAGE(Table1[Sleep_Hours_Per_Night])</f>
        <v>6.868936170212768</v>
      </c>
      <c r="V201">
        <f>AVERAGE(Table1[Mental_Health_Score])</f>
        <v>6.2269503546099294</v>
      </c>
    </row>
    <row r="202" spans="1:22" x14ac:dyDescent="0.3">
      <c r="A202">
        <v>201</v>
      </c>
      <c r="B202">
        <v>19</v>
      </c>
      <c r="C202" t="s">
        <v>12</v>
      </c>
      <c r="D202" t="s">
        <v>13</v>
      </c>
      <c r="E202" t="s">
        <v>137</v>
      </c>
      <c r="F202">
        <v>4.5</v>
      </c>
      <c r="G202" t="s">
        <v>31</v>
      </c>
      <c r="H202" t="s">
        <v>22</v>
      </c>
      <c r="I202">
        <v>8.3000000000000007</v>
      </c>
      <c r="J202">
        <v>7</v>
      </c>
      <c r="K202" t="s">
        <v>23</v>
      </c>
      <c r="L202">
        <v>5</v>
      </c>
      <c r="M202" t="str">
        <f>IF(Table1[[#This Row],[Age]]&lt;=18,"Teen",IF(Table1[[#This Row],[Age]]&lt;=21,"Young Adult","Adult"))</f>
        <v>Young Adult</v>
      </c>
      <c r="N202" t="str">
        <f t="shared" si="15"/>
        <v>High</v>
      </c>
      <c r="O202" t="str">
        <f t="shared" si="16"/>
        <v>Medium</v>
      </c>
      <c r="P202" t="str">
        <f t="shared" si="17"/>
        <v>Healthy</v>
      </c>
      <c r="Q202">
        <f t="shared" si="18"/>
        <v>0</v>
      </c>
      <c r="R202" t="str">
        <f t="shared" si="19"/>
        <v>Good</v>
      </c>
      <c r="S202">
        <f>COUNTIF('Students Social Media Addiction'!O:O,"High")/COUNTA(Table1[Student_ID])</f>
        <v>0.5787234042553191</v>
      </c>
      <c r="T202">
        <f>AVERAGE(Table1[Academic Impact Flag])</f>
        <v>0.64255319148936174</v>
      </c>
      <c r="U202">
        <f>AVERAGE(Table1[Sleep_Hours_Per_Night])</f>
        <v>6.868936170212768</v>
      </c>
      <c r="V202">
        <f>AVERAGE(Table1[Mental_Health_Score])</f>
        <v>6.2269503546099294</v>
      </c>
    </row>
    <row r="203" spans="1:22" x14ac:dyDescent="0.3">
      <c r="A203">
        <v>202</v>
      </c>
      <c r="B203">
        <v>21</v>
      </c>
      <c r="C203" t="s">
        <v>18</v>
      </c>
      <c r="D203" t="s">
        <v>19</v>
      </c>
      <c r="E203" t="s">
        <v>138</v>
      </c>
      <c r="F203">
        <v>4.8</v>
      </c>
      <c r="G203" t="s">
        <v>25</v>
      </c>
      <c r="H203" t="s">
        <v>16</v>
      </c>
      <c r="I203">
        <v>4.7</v>
      </c>
      <c r="J203">
        <v>6</v>
      </c>
      <c r="K203" t="s">
        <v>17</v>
      </c>
      <c r="L203">
        <v>8</v>
      </c>
      <c r="M203" t="str">
        <f>IF(Table1[[#This Row],[Age]]&lt;=18,"Teen",IF(Table1[[#This Row],[Age]]&lt;=21,"Young Adult","Adult"))</f>
        <v>Young Adult</v>
      </c>
      <c r="N203" t="str">
        <f t="shared" si="15"/>
        <v>High</v>
      </c>
      <c r="O203" t="str">
        <f t="shared" si="16"/>
        <v>High</v>
      </c>
      <c r="P203" t="str">
        <f t="shared" si="17"/>
        <v>Poor</v>
      </c>
      <c r="Q203">
        <f t="shared" si="18"/>
        <v>1</v>
      </c>
      <c r="R203" t="str">
        <f t="shared" si="19"/>
        <v>Average</v>
      </c>
      <c r="S203">
        <f>COUNTIF('Students Social Media Addiction'!O:O,"High")/COUNTA(Table1[Student_ID])</f>
        <v>0.5787234042553191</v>
      </c>
      <c r="T203">
        <f>AVERAGE(Table1[Academic Impact Flag])</f>
        <v>0.64255319148936174</v>
      </c>
      <c r="U203">
        <f>AVERAGE(Table1[Sleep_Hours_Per_Night])</f>
        <v>6.868936170212768</v>
      </c>
      <c r="V203">
        <f>AVERAGE(Table1[Mental_Health_Score])</f>
        <v>6.2269503546099294</v>
      </c>
    </row>
    <row r="204" spans="1:22" x14ac:dyDescent="0.3">
      <c r="A204">
        <v>203</v>
      </c>
      <c r="B204">
        <v>20</v>
      </c>
      <c r="C204" t="s">
        <v>12</v>
      </c>
      <c r="D204" t="s">
        <v>13</v>
      </c>
      <c r="E204" t="s">
        <v>14</v>
      </c>
      <c r="F204">
        <v>4.3</v>
      </c>
      <c r="G204" t="s">
        <v>15</v>
      </c>
      <c r="H204" t="s">
        <v>16</v>
      </c>
      <c r="I204">
        <v>7.6</v>
      </c>
      <c r="J204">
        <v>5</v>
      </c>
      <c r="K204" t="s">
        <v>23</v>
      </c>
      <c r="L204">
        <v>7</v>
      </c>
      <c r="M204" t="str">
        <f>IF(Table1[[#This Row],[Age]]&lt;=18,"Teen",IF(Table1[[#This Row],[Age]]&lt;=21,"Young Adult","Adult"))</f>
        <v>Young Adult</v>
      </c>
      <c r="N204" t="str">
        <f t="shared" si="15"/>
        <v>High</v>
      </c>
      <c r="O204" t="str">
        <f t="shared" si="16"/>
        <v>High</v>
      </c>
      <c r="P204" t="str">
        <f t="shared" si="17"/>
        <v>Healthy</v>
      </c>
      <c r="Q204">
        <f t="shared" si="18"/>
        <v>1</v>
      </c>
      <c r="R204" t="str">
        <f t="shared" si="19"/>
        <v>Average</v>
      </c>
      <c r="S204">
        <f>COUNTIF('Students Social Media Addiction'!O:O,"High")/COUNTA(Table1[Student_ID])</f>
        <v>0.5787234042553191</v>
      </c>
      <c r="T204">
        <f>AVERAGE(Table1[Academic Impact Flag])</f>
        <v>0.64255319148936174</v>
      </c>
      <c r="U204">
        <f>AVERAGE(Table1[Sleep_Hours_Per_Night])</f>
        <v>6.868936170212768</v>
      </c>
      <c r="V204">
        <f>AVERAGE(Table1[Mental_Health_Score])</f>
        <v>6.2269503546099294</v>
      </c>
    </row>
    <row r="205" spans="1:22" x14ac:dyDescent="0.3">
      <c r="A205">
        <v>204</v>
      </c>
      <c r="B205">
        <v>22</v>
      </c>
      <c r="C205" t="s">
        <v>18</v>
      </c>
      <c r="D205" t="s">
        <v>19</v>
      </c>
      <c r="E205" t="s">
        <v>20</v>
      </c>
      <c r="F205">
        <v>4.5999999999999996</v>
      </c>
      <c r="G205" t="s">
        <v>31</v>
      </c>
      <c r="H205" t="s">
        <v>22</v>
      </c>
      <c r="I205">
        <v>8.4</v>
      </c>
      <c r="J205">
        <v>7</v>
      </c>
      <c r="K205" t="s">
        <v>17</v>
      </c>
      <c r="L205">
        <v>6</v>
      </c>
      <c r="M205" t="str">
        <f>IF(Table1[[#This Row],[Age]]&lt;=18,"Teen",IF(Table1[[#This Row],[Age]]&lt;=21,"Young Adult","Adult"))</f>
        <v>Adult</v>
      </c>
      <c r="N205" t="str">
        <f t="shared" si="15"/>
        <v>High</v>
      </c>
      <c r="O205" t="str">
        <f t="shared" si="16"/>
        <v>Medium</v>
      </c>
      <c r="P205" t="str">
        <f t="shared" si="17"/>
        <v>Healthy</v>
      </c>
      <c r="Q205">
        <f t="shared" si="18"/>
        <v>0</v>
      </c>
      <c r="R205" t="str">
        <f t="shared" si="19"/>
        <v>Good</v>
      </c>
      <c r="S205">
        <f>COUNTIF('Students Social Media Addiction'!O:O,"High")/COUNTA(Table1[Student_ID])</f>
        <v>0.5787234042553191</v>
      </c>
      <c r="T205">
        <f>AVERAGE(Table1[Academic Impact Flag])</f>
        <v>0.64255319148936174</v>
      </c>
      <c r="U205">
        <f>AVERAGE(Table1[Sleep_Hours_Per_Night])</f>
        <v>6.868936170212768</v>
      </c>
      <c r="V205">
        <f>AVERAGE(Table1[Mental_Health_Score])</f>
        <v>6.2269503546099294</v>
      </c>
    </row>
    <row r="206" spans="1:22" x14ac:dyDescent="0.3">
      <c r="A206">
        <v>205</v>
      </c>
      <c r="B206">
        <v>19</v>
      </c>
      <c r="C206" t="s">
        <v>12</v>
      </c>
      <c r="D206" t="s">
        <v>13</v>
      </c>
      <c r="E206" t="s">
        <v>135</v>
      </c>
      <c r="F206">
        <v>6.2</v>
      </c>
      <c r="G206" t="s">
        <v>25</v>
      </c>
      <c r="H206" t="s">
        <v>16</v>
      </c>
      <c r="I206">
        <v>4.5999999999999996</v>
      </c>
      <c r="J206">
        <v>6</v>
      </c>
      <c r="K206" t="s">
        <v>23</v>
      </c>
      <c r="L206">
        <v>8</v>
      </c>
      <c r="M206" t="str">
        <f>IF(Table1[[#This Row],[Age]]&lt;=18,"Teen",IF(Table1[[#This Row],[Age]]&lt;=21,"Young Adult","Adult"))</f>
        <v>Young Adult</v>
      </c>
      <c r="N206" t="str">
        <f t="shared" si="15"/>
        <v>Very High</v>
      </c>
      <c r="O206" t="str">
        <f t="shared" si="16"/>
        <v>High</v>
      </c>
      <c r="P206" t="str">
        <f t="shared" si="17"/>
        <v>Poor</v>
      </c>
      <c r="Q206">
        <f t="shared" si="18"/>
        <v>1</v>
      </c>
      <c r="R206" t="str">
        <f t="shared" si="19"/>
        <v>Average</v>
      </c>
      <c r="S206">
        <f>COUNTIF('Students Social Media Addiction'!O:O,"High")/COUNTA(Table1[Student_ID])</f>
        <v>0.5787234042553191</v>
      </c>
      <c r="T206">
        <f>AVERAGE(Table1[Academic Impact Flag])</f>
        <v>0.64255319148936174</v>
      </c>
      <c r="U206">
        <f>AVERAGE(Table1[Sleep_Hours_Per_Night])</f>
        <v>6.868936170212768</v>
      </c>
      <c r="V206">
        <f>AVERAGE(Table1[Mental_Health_Score])</f>
        <v>6.2269503546099294</v>
      </c>
    </row>
    <row r="207" spans="1:22" x14ac:dyDescent="0.3">
      <c r="A207">
        <v>206</v>
      </c>
      <c r="B207">
        <v>21</v>
      </c>
      <c r="C207" t="s">
        <v>18</v>
      </c>
      <c r="D207" t="s">
        <v>19</v>
      </c>
      <c r="E207" t="s">
        <v>134</v>
      </c>
      <c r="F207">
        <v>4</v>
      </c>
      <c r="G207" t="s">
        <v>15</v>
      </c>
      <c r="H207" t="s">
        <v>16</v>
      </c>
      <c r="I207">
        <v>7.7</v>
      </c>
      <c r="J207">
        <v>5</v>
      </c>
      <c r="K207" t="s">
        <v>17</v>
      </c>
      <c r="L207">
        <v>7</v>
      </c>
      <c r="M207" t="str">
        <f>IF(Table1[[#This Row],[Age]]&lt;=18,"Teen",IF(Table1[[#This Row],[Age]]&lt;=21,"Young Adult","Adult"))</f>
        <v>Young Adult</v>
      </c>
      <c r="N207" t="str">
        <f t="shared" si="15"/>
        <v>High</v>
      </c>
      <c r="O207" t="str">
        <f t="shared" si="16"/>
        <v>High</v>
      </c>
      <c r="P207" t="str">
        <f t="shared" si="17"/>
        <v>Healthy</v>
      </c>
      <c r="Q207">
        <f t="shared" si="18"/>
        <v>1</v>
      </c>
      <c r="R207" t="str">
        <f t="shared" si="19"/>
        <v>Average</v>
      </c>
      <c r="S207">
        <f>COUNTIF('Students Social Media Addiction'!O:O,"High")/COUNTA(Table1[Student_ID])</f>
        <v>0.5787234042553191</v>
      </c>
      <c r="T207">
        <f>AVERAGE(Table1[Academic Impact Flag])</f>
        <v>0.64255319148936174</v>
      </c>
      <c r="U207">
        <f>AVERAGE(Table1[Sleep_Hours_Per_Night])</f>
        <v>6.868936170212768</v>
      </c>
      <c r="V207">
        <f>AVERAGE(Table1[Mental_Health_Score])</f>
        <v>6.2269503546099294</v>
      </c>
    </row>
    <row r="208" spans="1:22" x14ac:dyDescent="0.3">
      <c r="A208">
        <v>207</v>
      </c>
      <c r="B208">
        <v>20</v>
      </c>
      <c r="C208" t="s">
        <v>12</v>
      </c>
      <c r="D208" t="s">
        <v>13</v>
      </c>
      <c r="E208" t="s">
        <v>137</v>
      </c>
      <c r="F208">
        <v>4.4000000000000004</v>
      </c>
      <c r="G208" t="s">
        <v>31</v>
      </c>
      <c r="H208" t="s">
        <v>22</v>
      </c>
      <c r="I208">
        <v>8.5</v>
      </c>
      <c r="J208">
        <v>7</v>
      </c>
      <c r="K208" t="s">
        <v>23</v>
      </c>
      <c r="L208">
        <v>5</v>
      </c>
      <c r="M208" t="str">
        <f>IF(Table1[[#This Row],[Age]]&lt;=18,"Teen",IF(Table1[[#This Row],[Age]]&lt;=21,"Young Adult","Adult"))</f>
        <v>Young Adult</v>
      </c>
      <c r="N208" t="str">
        <f t="shared" si="15"/>
        <v>High</v>
      </c>
      <c r="O208" t="str">
        <f t="shared" si="16"/>
        <v>Medium</v>
      </c>
      <c r="P208" t="str">
        <f t="shared" si="17"/>
        <v>Healthy</v>
      </c>
      <c r="Q208">
        <f t="shared" si="18"/>
        <v>0</v>
      </c>
      <c r="R208" t="str">
        <f t="shared" si="19"/>
        <v>Good</v>
      </c>
      <c r="S208">
        <f>COUNTIF('Students Social Media Addiction'!O:O,"High")/COUNTA(Table1[Student_ID])</f>
        <v>0.5787234042553191</v>
      </c>
      <c r="T208">
        <f>AVERAGE(Table1[Academic Impact Flag])</f>
        <v>0.64255319148936174</v>
      </c>
      <c r="U208">
        <f>AVERAGE(Table1[Sleep_Hours_Per_Night])</f>
        <v>6.868936170212768</v>
      </c>
      <c r="V208">
        <f>AVERAGE(Table1[Mental_Health_Score])</f>
        <v>6.2269503546099294</v>
      </c>
    </row>
    <row r="209" spans="1:22" x14ac:dyDescent="0.3">
      <c r="A209">
        <v>208</v>
      </c>
      <c r="B209">
        <v>22</v>
      </c>
      <c r="C209" t="s">
        <v>18</v>
      </c>
      <c r="D209" t="s">
        <v>19</v>
      </c>
      <c r="E209" t="s">
        <v>138</v>
      </c>
      <c r="F209">
        <v>4.7</v>
      </c>
      <c r="G209" t="s">
        <v>25</v>
      </c>
      <c r="H209" t="s">
        <v>16</v>
      </c>
      <c r="I209">
        <v>4.5</v>
      </c>
      <c r="J209">
        <v>6</v>
      </c>
      <c r="K209" t="s">
        <v>17</v>
      </c>
      <c r="L209">
        <v>8</v>
      </c>
      <c r="M209" t="str">
        <f>IF(Table1[[#This Row],[Age]]&lt;=18,"Teen",IF(Table1[[#This Row],[Age]]&lt;=21,"Young Adult","Adult"))</f>
        <v>Adult</v>
      </c>
      <c r="N209" t="str">
        <f t="shared" si="15"/>
        <v>High</v>
      </c>
      <c r="O209" t="str">
        <f t="shared" si="16"/>
        <v>High</v>
      </c>
      <c r="P209" t="str">
        <f t="shared" si="17"/>
        <v>Poor</v>
      </c>
      <c r="Q209">
        <f t="shared" si="18"/>
        <v>1</v>
      </c>
      <c r="R209" t="str">
        <f t="shared" si="19"/>
        <v>Average</v>
      </c>
      <c r="S209">
        <f>COUNTIF('Students Social Media Addiction'!O:O,"High")/COUNTA(Table1[Student_ID])</f>
        <v>0.5787234042553191</v>
      </c>
      <c r="T209">
        <f>AVERAGE(Table1[Academic Impact Flag])</f>
        <v>0.64255319148936174</v>
      </c>
      <c r="U209">
        <f>AVERAGE(Table1[Sleep_Hours_Per_Night])</f>
        <v>6.868936170212768</v>
      </c>
      <c r="V209">
        <f>AVERAGE(Table1[Mental_Health_Score])</f>
        <v>6.2269503546099294</v>
      </c>
    </row>
    <row r="210" spans="1:22" x14ac:dyDescent="0.3">
      <c r="A210">
        <v>209</v>
      </c>
      <c r="B210">
        <v>19</v>
      </c>
      <c r="C210" t="s">
        <v>12</v>
      </c>
      <c r="D210" t="s">
        <v>13</v>
      </c>
      <c r="E210" t="s">
        <v>14</v>
      </c>
      <c r="F210">
        <v>4.2</v>
      </c>
      <c r="G210" t="s">
        <v>15</v>
      </c>
      <c r="H210" t="s">
        <v>16</v>
      </c>
      <c r="I210">
        <v>7.8</v>
      </c>
      <c r="J210">
        <v>5</v>
      </c>
      <c r="K210" t="s">
        <v>23</v>
      </c>
      <c r="L210">
        <v>7</v>
      </c>
      <c r="M210" t="str">
        <f>IF(Table1[[#This Row],[Age]]&lt;=18,"Teen",IF(Table1[[#This Row],[Age]]&lt;=21,"Young Adult","Adult"))</f>
        <v>Young Adult</v>
      </c>
      <c r="N210" t="str">
        <f t="shared" si="15"/>
        <v>High</v>
      </c>
      <c r="O210" t="str">
        <f t="shared" si="16"/>
        <v>High</v>
      </c>
      <c r="P210" t="str">
        <f t="shared" si="17"/>
        <v>Healthy</v>
      </c>
      <c r="Q210">
        <f t="shared" si="18"/>
        <v>1</v>
      </c>
      <c r="R210" t="str">
        <f t="shared" si="19"/>
        <v>Average</v>
      </c>
      <c r="S210">
        <f>COUNTIF('Students Social Media Addiction'!O:O,"High")/COUNTA(Table1[Student_ID])</f>
        <v>0.5787234042553191</v>
      </c>
      <c r="T210">
        <f>AVERAGE(Table1[Academic Impact Flag])</f>
        <v>0.64255319148936174</v>
      </c>
      <c r="U210">
        <f>AVERAGE(Table1[Sleep_Hours_Per_Night])</f>
        <v>6.868936170212768</v>
      </c>
      <c r="V210">
        <f>AVERAGE(Table1[Mental_Health_Score])</f>
        <v>6.2269503546099294</v>
      </c>
    </row>
    <row r="211" spans="1:22" x14ac:dyDescent="0.3">
      <c r="A211">
        <v>210</v>
      </c>
      <c r="B211">
        <v>21</v>
      </c>
      <c r="C211" t="s">
        <v>18</v>
      </c>
      <c r="D211" t="s">
        <v>19</v>
      </c>
      <c r="E211" t="s">
        <v>20</v>
      </c>
      <c r="F211">
        <v>4.5</v>
      </c>
      <c r="G211" t="s">
        <v>31</v>
      </c>
      <c r="H211" t="s">
        <v>22</v>
      </c>
      <c r="I211">
        <v>8.6</v>
      </c>
      <c r="J211">
        <v>7</v>
      </c>
      <c r="K211" t="s">
        <v>17</v>
      </c>
      <c r="L211">
        <v>6</v>
      </c>
      <c r="M211" t="str">
        <f>IF(Table1[[#This Row],[Age]]&lt;=18,"Teen",IF(Table1[[#This Row],[Age]]&lt;=21,"Young Adult","Adult"))</f>
        <v>Young Adult</v>
      </c>
      <c r="N211" t="str">
        <f t="shared" si="15"/>
        <v>High</v>
      </c>
      <c r="O211" t="str">
        <f t="shared" si="16"/>
        <v>Medium</v>
      </c>
      <c r="P211" t="str">
        <f t="shared" si="17"/>
        <v>Healthy</v>
      </c>
      <c r="Q211">
        <f t="shared" si="18"/>
        <v>0</v>
      </c>
      <c r="R211" t="str">
        <f t="shared" si="19"/>
        <v>Good</v>
      </c>
      <c r="S211">
        <f>COUNTIF('Students Social Media Addiction'!O:O,"High")/COUNTA(Table1[Student_ID])</f>
        <v>0.5787234042553191</v>
      </c>
      <c r="T211">
        <f>AVERAGE(Table1[Academic Impact Flag])</f>
        <v>0.64255319148936174</v>
      </c>
      <c r="U211">
        <f>AVERAGE(Table1[Sleep_Hours_Per_Night])</f>
        <v>6.868936170212768</v>
      </c>
      <c r="V211">
        <f>AVERAGE(Table1[Mental_Health_Score])</f>
        <v>6.2269503546099294</v>
      </c>
    </row>
    <row r="212" spans="1:22" x14ac:dyDescent="0.3">
      <c r="A212">
        <v>211</v>
      </c>
      <c r="B212">
        <v>20</v>
      </c>
      <c r="C212" t="s">
        <v>12</v>
      </c>
      <c r="D212" t="s">
        <v>13</v>
      </c>
      <c r="E212" t="s">
        <v>135</v>
      </c>
      <c r="F212">
        <v>6.3</v>
      </c>
      <c r="G212" t="s">
        <v>25</v>
      </c>
      <c r="H212" t="s">
        <v>16</v>
      </c>
      <c r="I212">
        <v>4.4000000000000004</v>
      </c>
      <c r="J212">
        <v>6</v>
      </c>
      <c r="K212" t="s">
        <v>23</v>
      </c>
      <c r="L212">
        <v>8</v>
      </c>
      <c r="M212" t="str">
        <f>IF(Table1[[#This Row],[Age]]&lt;=18,"Teen",IF(Table1[[#This Row],[Age]]&lt;=21,"Young Adult","Adult"))</f>
        <v>Young Adult</v>
      </c>
      <c r="N212" t="str">
        <f t="shared" si="15"/>
        <v>Very High</v>
      </c>
      <c r="O212" t="str">
        <f t="shared" si="16"/>
        <v>High</v>
      </c>
      <c r="P212" t="str">
        <f t="shared" si="17"/>
        <v>Poor</v>
      </c>
      <c r="Q212">
        <f t="shared" si="18"/>
        <v>1</v>
      </c>
      <c r="R212" t="str">
        <f t="shared" si="19"/>
        <v>Average</v>
      </c>
      <c r="S212">
        <f>COUNTIF('Students Social Media Addiction'!O:O,"High")/COUNTA(Table1[Student_ID])</f>
        <v>0.5787234042553191</v>
      </c>
      <c r="T212">
        <f>AVERAGE(Table1[Academic Impact Flag])</f>
        <v>0.64255319148936174</v>
      </c>
      <c r="U212">
        <f>AVERAGE(Table1[Sleep_Hours_Per_Night])</f>
        <v>6.868936170212768</v>
      </c>
      <c r="V212">
        <f>AVERAGE(Table1[Mental_Health_Score])</f>
        <v>6.2269503546099294</v>
      </c>
    </row>
    <row r="213" spans="1:22" x14ac:dyDescent="0.3">
      <c r="A213">
        <v>212</v>
      </c>
      <c r="B213">
        <v>22</v>
      </c>
      <c r="C213" t="s">
        <v>18</v>
      </c>
      <c r="D213" t="s">
        <v>19</v>
      </c>
      <c r="E213" t="s">
        <v>134</v>
      </c>
      <c r="F213">
        <v>3.9</v>
      </c>
      <c r="G213" t="s">
        <v>15</v>
      </c>
      <c r="H213" t="s">
        <v>16</v>
      </c>
      <c r="I213">
        <v>7.9</v>
      </c>
      <c r="J213">
        <v>5</v>
      </c>
      <c r="K213" t="s">
        <v>17</v>
      </c>
      <c r="L213">
        <v>7</v>
      </c>
      <c r="M213" t="str">
        <f>IF(Table1[[#This Row],[Age]]&lt;=18,"Teen",IF(Table1[[#This Row],[Age]]&lt;=21,"Young Adult","Adult"))</f>
        <v>Adult</v>
      </c>
      <c r="N213" t="str">
        <f t="shared" si="15"/>
        <v>Moderate</v>
      </c>
      <c r="O213" t="str">
        <f t="shared" si="16"/>
        <v>High</v>
      </c>
      <c r="P213" t="str">
        <f t="shared" si="17"/>
        <v>Healthy</v>
      </c>
      <c r="Q213">
        <f t="shared" si="18"/>
        <v>1</v>
      </c>
      <c r="R213" t="str">
        <f t="shared" si="19"/>
        <v>Average</v>
      </c>
      <c r="S213">
        <f>COUNTIF('Students Social Media Addiction'!O:O,"High")/COUNTA(Table1[Student_ID])</f>
        <v>0.5787234042553191</v>
      </c>
      <c r="T213">
        <f>AVERAGE(Table1[Academic Impact Flag])</f>
        <v>0.64255319148936174</v>
      </c>
      <c r="U213">
        <f>AVERAGE(Table1[Sleep_Hours_Per_Night])</f>
        <v>6.868936170212768</v>
      </c>
      <c r="V213">
        <f>AVERAGE(Table1[Mental_Health_Score])</f>
        <v>6.2269503546099294</v>
      </c>
    </row>
    <row r="214" spans="1:22" x14ac:dyDescent="0.3">
      <c r="A214">
        <v>213</v>
      </c>
      <c r="B214">
        <v>19</v>
      </c>
      <c r="C214" t="s">
        <v>12</v>
      </c>
      <c r="D214" t="s">
        <v>13</v>
      </c>
      <c r="E214" t="s">
        <v>137</v>
      </c>
      <c r="F214">
        <v>4.3</v>
      </c>
      <c r="G214" t="s">
        <v>31</v>
      </c>
      <c r="H214" t="s">
        <v>22</v>
      </c>
      <c r="I214">
        <v>8.6999999999999993</v>
      </c>
      <c r="J214">
        <v>7</v>
      </c>
      <c r="K214" t="s">
        <v>23</v>
      </c>
      <c r="L214">
        <v>5</v>
      </c>
      <c r="M214" t="str">
        <f>IF(Table1[[#This Row],[Age]]&lt;=18,"Teen",IF(Table1[[#This Row],[Age]]&lt;=21,"Young Adult","Adult"))</f>
        <v>Young Adult</v>
      </c>
      <c r="N214" t="str">
        <f t="shared" si="15"/>
        <v>High</v>
      </c>
      <c r="O214" t="str">
        <f t="shared" si="16"/>
        <v>Medium</v>
      </c>
      <c r="P214" t="str">
        <f t="shared" si="17"/>
        <v>Healthy</v>
      </c>
      <c r="Q214">
        <f t="shared" si="18"/>
        <v>0</v>
      </c>
      <c r="R214" t="str">
        <f t="shared" si="19"/>
        <v>Good</v>
      </c>
      <c r="S214">
        <f>COUNTIF('Students Social Media Addiction'!O:O,"High")/COUNTA(Table1[Student_ID])</f>
        <v>0.5787234042553191</v>
      </c>
      <c r="T214">
        <f>AVERAGE(Table1[Academic Impact Flag])</f>
        <v>0.64255319148936174</v>
      </c>
      <c r="U214">
        <f>AVERAGE(Table1[Sleep_Hours_Per_Night])</f>
        <v>6.868936170212768</v>
      </c>
      <c r="V214">
        <f>AVERAGE(Table1[Mental_Health_Score])</f>
        <v>6.2269503546099294</v>
      </c>
    </row>
    <row r="215" spans="1:22" x14ac:dyDescent="0.3">
      <c r="A215">
        <v>214</v>
      </c>
      <c r="B215">
        <v>21</v>
      </c>
      <c r="C215" t="s">
        <v>18</v>
      </c>
      <c r="D215" t="s">
        <v>19</v>
      </c>
      <c r="E215" t="s">
        <v>138</v>
      </c>
      <c r="F215">
        <v>4.5999999999999996</v>
      </c>
      <c r="G215" t="s">
        <v>25</v>
      </c>
      <c r="H215" t="s">
        <v>16</v>
      </c>
      <c r="I215">
        <v>4.3</v>
      </c>
      <c r="J215">
        <v>6</v>
      </c>
      <c r="K215" t="s">
        <v>17</v>
      </c>
      <c r="L215">
        <v>8</v>
      </c>
      <c r="M215" t="str">
        <f>IF(Table1[[#This Row],[Age]]&lt;=18,"Teen",IF(Table1[[#This Row],[Age]]&lt;=21,"Young Adult","Adult"))</f>
        <v>Young Adult</v>
      </c>
      <c r="N215" t="str">
        <f t="shared" si="15"/>
        <v>High</v>
      </c>
      <c r="O215" t="str">
        <f t="shared" si="16"/>
        <v>High</v>
      </c>
      <c r="P215" t="str">
        <f t="shared" si="17"/>
        <v>Poor</v>
      </c>
      <c r="Q215">
        <f t="shared" si="18"/>
        <v>1</v>
      </c>
      <c r="R215" t="str">
        <f t="shared" si="19"/>
        <v>Average</v>
      </c>
      <c r="S215">
        <f>COUNTIF('Students Social Media Addiction'!O:O,"High")/COUNTA(Table1[Student_ID])</f>
        <v>0.5787234042553191</v>
      </c>
      <c r="T215">
        <f>AVERAGE(Table1[Academic Impact Flag])</f>
        <v>0.64255319148936174</v>
      </c>
      <c r="U215">
        <f>AVERAGE(Table1[Sleep_Hours_Per_Night])</f>
        <v>6.868936170212768</v>
      </c>
      <c r="V215">
        <f>AVERAGE(Table1[Mental_Health_Score])</f>
        <v>6.2269503546099294</v>
      </c>
    </row>
    <row r="216" spans="1:22" x14ac:dyDescent="0.3">
      <c r="A216">
        <v>215</v>
      </c>
      <c r="B216">
        <v>20</v>
      </c>
      <c r="C216" t="s">
        <v>12</v>
      </c>
      <c r="D216" t="s">
        <v>13</v>
      </c>
      <c r="E216" t="s">
        <v>14</v>
      </c>
      <c r="F216">
        <v>4.0999999999999996</v>
      </c>
      <c r="G216" t="s">
        <v>15</v>
      </c>
      <c r="H216" t="s">
        <v>16</v>
      </c>
      <c r="I216">
        <v>8</v>
      </c>
      <c r="J216">
        <v>5</v>
      </c>
      <c r="K216" t="s">
        <v>23</v>
      </c>
      <c r="L216">
        <v>7</v>
      </c>
      <c r="M216" t="str">
        <f>IF(Table1[[#This Row],[Age]]&lt;=18,"Teen",IF(Table1[[#This Row],[Age]]&lt;=21,"Young Adult","Adult"))</f>
        <v>Young Adult</v>
      </c>
      <c r="N216" t="str">
        <f t="shared" si="15"/>
        <v>High</v>
      </c>
      <c r="O216" t="str">
        <f t="shared" si="16"/>
        <v>High</v>
      </c>
      <c r="P216" t="str">
        <f t="shared" si="17"/>
        <v>Healthy</v>
      </c>
      <c r="Q216">
        <f t="shared" si="18"/>
        <v>1</v>
      </c>
      <c r="R216" t="str">
        <f t="shared" si="19"/>
        <v>Average</v>
      </c>
      <c r="S216">
        <f>COUNTIF('Students Social Media Addiction'!O:O,"High")/COUNTA(Table1[Student_ID])</f>
        <v>0.5787234042553191</v>
      </c>
      <c r="T216">
        <f>AVERAGE(Table1[Academic Impact Flag])</f>
        <v>0.64255319148936174</v>
      </c>
      <c r="U216">
        <f>AVERAGE(Table1[Sleep_Hours_Per_Night])</f>
        <v>6.868936170212768</v>
      </c>
      <c r="V216">
        <f>AVERAGE(Table1[Mental_Health_Score])</f>
        <v>6.2269503546099294</v>
      </c>
    </row>
    <row r="217" spans="1:22" x14ac:dyDescent="0.3">
      <c r="A217">
        <v>216</v>
      </c>
      <c r="B217">
        <v>22</v>
      </c>
      <c r="C217" t="s">
        <v>18</v>
      </c>
      <c r="D217" t="s">
        <v>19</v>
      </c>
      <c r="E217" t="s">
        <v>20</v>
      </c>
      <c r="F217">
        <v>4.4000000000000004</v>
      </c>
      <c r="G217" t="s">
        <v>31</v>
      </c>
      <c r="H217" t="s">
        <v>22</v>
      </c>
      <c r="I217">
        <v>8.8000000000000007</v>
      </c>
      <c r="J217">
        <v>7</v>
      </c>
      <c r="K217" t="s">
        <v>17</v>
      </c>
      <c r="L217">
        <v>6</v>
      </c>
      <c r="M217" t="str">
        <f>IF(Table1[[#This Row],[Age]]&lt;=18,"Teen",IF(Table1[[#This Row],[Age]]&lt;=21,"Young Adult","Adult"))</f>
        <v>Adult</v>
      </c>
      <c r="N217" t="str">
        <f t="shared" si="15"/>
        <v>High</v>
      </c>
      <c r="O217" t="str">
        <f t="shared" si="16"/>
        <v>Medium</v>
      </c>
      <c r="P217" t="str">
        <f t="shared" si="17"/>
        <v>Healthy</v>
      </c>
      <c r="Q217">
        <f t="shared" si="18"/>
        <v>0</v>
      </c>
      <c r="R217" t="str">
        <f t="shared" si="19"/>
        <v>Good</v>
      </c>
      <c r="S217">
        <f>COUNTIF('Students Social Media Addiction'!O:O,"High")/COUNTA(Table1[Student_ID])</f>
        <v>0.5787234042553191</v>
      </c>
      <c r="T217">
        <f>AVERAGE(Table1[Academic Impact Flag])</f>
        <v>0.64255319148936174</v>
      </c>
      <c r="U217">
        <f>AVERAGE(Table1[Sleep_Hours_Per_Night])</f>
        <v>6.868936170212768</v>
      </c>
      <c r="V217">
        <f>AVERAGE(Table1[Mental_Health_Score])</f>
        <v>6.2269503546099294</v>
      </c>
    </row>
    <row r="218" spans="1:22" x14ac:dyDescent="0.3">
      <c r="A218">
        <v>217</v>
      </c>
      <c r="B218">
        <v>19</v>
      </c>
      <c r="C218" t="s">
        <v>12</v>
      </c>
      <c r="D218" t="s">
        <v>13</v>
      </c>
      <c r="E218" t="s">
        <v>135</v>
      </c>
      <c r="F218">
        <v>6.4</v>
      </c>
      <c r="G218" t="s">
        <v>25</v>
      </c>
      <c r="H218" t="s">
        <v>16</v>
      </c>
      <c r="I218">
        <v>4.2</v>
      </c>
      <c r="J218">
        <v>6</v>
      </c>
      <c r="K218" t="s">
        <v>23</v>
      </c>
      <c r="L218">
        <v>8</v>
      </c>
      <c r="M218" t="str">
        <f>IF(Table1[[#This Row],[Age]]&lt;=18,"Teen",IF(Table1[[#This Row],[Age]]&lt;=21,"Young Adult","Adult"))</f>
        <v>Young Adult</v>
      </c>
      <c r="N218" t="str">
        <f t="shared" si="15"/>
        <v>Very High</v>
      </c>
      <c r="O218" t="str">
        <f t="shared" si="16"/>
        <v>High</v>
      </c>
      <c r="P218" t="str">
        <f t="shared" si="17"/>
        <v>Poor</v>
      </c>
      <c r="Q218">
        <f t="shared" si="18"/>
        <v>1</v>
      </c>
      <c r="R218" t="str">
        <f t="shared" si="19"/>
        <v>Average</v>
      </c>
      <c r="S218">
        <f>COUNTIF('Students Social Media Addiction'!O:O,"High")/COUNTA(Table1[Student_ID])</f>
        <v>0.5787234042553191</v>
      </c>
      <c r="T218">
        <f>AVERAGE(Table1[Academic Impact Flag])</f>
        <v>0.64255319148936174</v>
      </c>
      <c r="U218">
        <f>AVERAGE(Table1[Sleep_Hours_Per_Night])</f>
        <v>6.868936170212768</v>
      </c>
      <c r="V218">
        <f>AVERAGE(Table1[Mental_Health_Score])</f>
        <v>6.2269503546099294</v>
      </c>
    </row>
    <row r="219" spans="1:22" x14ac:dyDescent="0.3">
      <c r="A219">
        <v>218</v>
      </c>
      <c r="B219">
        <v>21</v>
      </c>
      <c r="C219" t="s">
        <v>18</v>
      </c>
      <c r="D219" t="s">
        <v>19</v>
      </c>
      <c r="E219" t="s">
        <v>134</v>
      </c>
      <c r="F219">
        <v>3.8</v>
      </c>
      <c r="G219" t="s">
        <v>15</v>
      </c>
      <c r="H219" t="s">
        <v>16</v>
      </c>
      <c r="I219">
        <v>8.1</v>
      </c>
      <c r="J219">
        <v>5</v>
      </c>
      <c r="K219" t="s">
        <v>17</v>
      </c>
      <c r="L219">
        <v>7</v>
      </c>
      <c r="M219" t="str">
        <f>IF(Table1[[#This Row],[Age]]&lt;=18,"Teen",IF(Table1[[#This Row],[Age]]&lt;=21,"Young Adult","Adult"))</f>
        <v>Young Adult</v>
      </c>
      <c r="N219" t="str">
        <f t="shared" si="15"/>
        <v>Moderate</v>
      </c>
      <c r="O219" t="str">
        <f t="shared" si="16"/>
        <v>High</v>
      </c>
      <c r="P219" t="str">
        <f t="shared" si="17"/>
        <v>Healthy</v>
      </c>
      <c r="Q219">
        <f t="shared" si="18"/>
        <v>1</v>
      </c>
      <c r="R219" t="str">
        <f t="shared" si="19"/>
        <v>Average</v>
      </c>
      <c r="S219">
        <f>COUNTIF('Students Social Media Addiction'!O:O,"High")/COUNTA(Table1[Student_ID])</f>
        <v>0.5787234042553191</v>
      </c>
      <c r="T219">
        <f>AVERAGE(Table1[Academic Impact Flag])</f>
        <v>0.64255319148936174</v>
      </c>
      <c r="U219">
        <f>AVERAGE(Table1[Sleep_Hours_Per_Night])</f>
        <v>6.868936170212768</v>
      </c>
      <c r="V219">
        <f>AVERAGE(Table1[Mental_Health_Score])</f>
        <v>6.2269503546099294</v>
      </c>
    </row>
    <row r="220" spans="1:22" x14ac:dyDescent="0.3">
      <c r="A220">
        <v>219</v>
      </c>
      <c r="B220">
        <v>20</v>
      </c>
      <c r="C220" t="s">
        <v>12</v>
      </c>
      <c r="D220" t="s">
        <v>13</v>
      </c>
      <c r="E220" t="s">
        <v>137</v>
      </c>
      <c r="F220">
        <v>4.2</v>
      </c>
      <c r="G220" t="s">
        <v>31</v>
      </c>
      <c r="H220" t="s">
        <v>22</v>
      </c>
      <c r="I220">
        <v>8.9</v>
      </c>
      <c r="J220">
        <v>7</v>
      </c>
      <c r="K220" t="s">
        <v>23</v>
      </c>
      <c r="L220">
        <v>5</v>
      </c>
      <c r="M220" t="str">
        <f>IF(Table1[[#This Row],[Age]]&lt;=18,"Teen",IF(Table1[[#This Row],[Age]]&lt;=21,"Young Adult","Adult"))</f>
        <v>Young Adult</v>
      </c>
      <c r="N220" t="str">
        <f t="shared" si="15"/>
        <v>High</v>
      </c>
      <c r="O220" t="str">
        <f t="shared" si="16"/>
        <v>Medium</v>
      </c>
      <c r="P220" t="str">
        <f t="shared" si="17"/>
        <v>Healthy</v>
      </c>
      <c r="Q220">
        <f t="shared" si="18"/>
        <v>0</v>
      </c>
      <c r="R220" t="str">
        <f t="shared" si="19"/>
        <v>Good</v>
      </c>
      <c r="S220">
        <f>COUNTIF('Students Social Media Addiction'!O:O,"High")/COUNTA(Table1[Student_ID])</f>
        <v>0.5787234042553191</v>
      </c>
      <c r="T220">
        <f>AVERAGE(Table1[Academic Impact Flag])</f>
        <v>0.64255319148936174</v>
      </c>
      <c r="U220">
        <f>AVERAGE(Table1[Sleep_Hours_Per_Night])</f>
        <v>6.868936170212768</v>
      </c>
      <c r="V220">
        <f>AVERAGE(Table1[Mental_Health_Score])</f>
        <v>6.2269503546099294</v>
      </c>
    </row>
    <row r="221" spans="1:22" x14ac:dyDescent="0.3">
      <c r="A221">
        <v>220</v>
      </c>
      <c r="B221">
        <v>22</v>
      </c>
      <c r="C221" t="s">
        <v>18</v>
      </c>
      <c r="D221" t="s">
        <v>19</v>
      </c>
      <c r="E221" t="s">
        <v>138</v>
      </c>
      <c r="F221">
        <v>4.5</v>
      </c>
      <c r="G221" t="s">
        <v>25</v>
      </c>
      <c r="H221" t="s">
        <v>16</v>
      </c>
      <c r="I221">
        <v>4.0999999999999996</v>
      </c>
      <c r="J221">
        <v>6</v>
      </c>
      <c r="K221" t="s">
        <v>17</v>
      </c>
      <c r="L221">
        <v>8</v>
      </c>
      <c r="M221" t="str">
        <f>IF(Table1[[#This Row],[Age]]&lt;=18,"Teen",IF(Table1[[#This Row],[Age]]&lt;=21,"Young Adult","Adult"))</f>
        <v>Adult</v>
      </c>
      <c r="N221" t="str">
        <f t="shared" si="15"/>
        <v>High</v>
      </c>
      <c r="O221" t="str">
        <f t="shared" si="16"/>
        <v>High</v>
      </c>
      <c r="P221" t="str">
        <f t="shared" si="17"/>
        <v>Poor</v>
      </c>
      <c r="Q221">
        <f t="shared" si="18"/>
        <v>1</v>
      </c>
      <c r="R221" t="str">
        <f t="shared" si="19"/>
        <v>Average</v>
      </c>
      <c r="S221">
        <f>COUNTIF('Students Social Media Addiction'!O:O,"High")/COUNTA(Table1[Student_ID])</f>
        <v>0.5787234042553191</v>
      </c>
      <c r="T221">
        <f>AVERAGE(Table1[Academic Impact Flag])</f>
        <v>0.64255319148936174</v>
      </c>
      <c r="U221">
        <f>AVERAGE(Table1[Sleep_Hours_Per_Night])</f>
        <v>6.868936170212768</v>
      </c>
      <c r="V221">
        <f>AVERAGE(Table1[Mental_Health_Score])</f>
        <v>6.2269503546099294</v>
      </c>
    </row>
    <row r="222" spans="1:22" x14ac:dyDescent="0.3">
      <c r="A222">
        <v>221</v>
      </c>
      <c r="B222">
        <v>19</v>
      </c>
      <c r="C222" t="s">
        <v>12</v>
      </c>
      <c r="D222" t="s">
        <v>13</v>
      </c>
      <c r="E222" t="s">
        <v>24</v>
      </c>
      <c r="F222">
        <v>6.5</v>
      </c>
      <c r="G222" t="s">
        <v>15</v>
      </c>
      <c r="H222" t="s">
        <v>16</v>
      </c>
      <c r="I222">
        <v>6</v>
      </c>
      <c r="J222">
        <v>5</v>
      </c>
      <c r="K222" t="s">
        <v>23</v>
      </c>
      <c r="L222">
        <v>9</v>
      </c>
      <c r="M222" t="str">
        <f>IF(Table1[[#This Row],[Age]]&lt;=18,"Teen",IF(Table1[[#This Row],[Age]]&lt;=21,"Young Adult","Adult"))</f>
        <v>Young Adult</v>
      </c>
      <c r="N222" t="str">
        <f t="shared" si="15"/>
        <v>Very High</v>
      </c>
      <c r="O222" t="str">
        <f t="shared" si="16"/>
        <v>High</v>
      </c>
      <c r="P222" t="str">
        <f t="shared" si="17"/>
        <v>Average</v>
      </c>
      <c r="Q222">
        <f t="shared" si="18"/>
        <v>1</v>
      </c>
      <c r="R222" t="str">
        <f t="shared" si="19"/>
        <v>Average</v>
      </c>
      <c r="S222">
        <f>COUNTIF('Students Social Media Addiction'!O:O,"High")/COUNTA(Table1[Student_ID])</f>
        <v>0.5787234042553191</v>
      </c>
      <c r="T222">
        <f>AVERAGE(Table1[Academic Impact Flag])</f>
        <v>0.64255319148936174</v>
      </c>
      <c r="U222">
        <f>AVERAGE(Table1[Sleep_Hours_Per_Night])</f>
        <v>6.868936170212768</v>
      </c>
      <c r="V222">
        <f>AVERAGE(Table1[Mental_Health_Score])</f>
        <v>6.2269503546099294</v>
      </c>
    </row>
    <row r="223" spans="1:22" x14ac:dyDescent="0.3">
      <c r="A223">
        <v>222</v>
      </c>
      <c r="B223">
        <v>21</v>
      </c>
      <c r="C223" t="s">
        <v>18</v>
      </c>
      <c r="D223" t="s">
        <v>19</v>
      </c>
      <c r="E223" t="s">
        <v>28</v>
      </c>
      <c r="F223">
        <v>5.8</v>
      </c>
      <c r="G223" t="s">
        <v>25</v>
      </c>
      <c r="H223" t="s">
        <v>16</v>
      </c>
      <c r="I223">
        <v>6.5</v>
      </c>
      <c r="J223">
        <v>6</v>
      </c>
      <c r="K223" t="s">
        <v>17</v>
      </c>
      <c r="L223">
        <v>7</v>
      </c>
      <c r="M223" t="str">
        <f>IF(Table1[[#This Row],[Age]]&lt;=18,"Teen",IF(Table1[[#This Row],[Age]]&lt;=21,"Young Adult","Adult"))</f>
        <v>Young Adult</v>
      </c>
      <c r="N223" t="str">
        <f t="shared" si="15"/>
        <v>High</v>
      </c>
      <c r="O223" t="str">
        <f t="shared" si="16"/>
        <v>High</v>
      </c>
      <c r="P223" t="str">
        <f t="shared" si="17"/>
        <v>Average</v>
      </c>
      <c r="Q223">
        <f t="shared" si="18"/>
        <v>1</v>
      </c>
      <c r="R223" t="str">
        <f t="shared" si="19"/>
        <v>Average</v>
      </c>
      <c r="S223">
        <f>COUNTIF('Students Social Media Addiction'!O:O,"High")/COUNTA(Table1[Student_ID])</f>
        <v>0.5787234042553191</v>
      </c>
      <c r="T223">
        <f>AVERAGE(Table1[Academic Impact Flag])</f>
        <v>0.64255319148936174</v>
      </c>
      <c r="U223">
        <f>AVERAGE(Table1[Sleep_Hours_Per_Night])</f>
        <v>6.868936170212768</v>
      </c>
      <c r="V223">
        <f>AVERAGE(Table1[Mental_Health_Score])</f>
        <v>6.2269503546099294</v>
      </c>
    </row>
    <row r="224" spans="1:22" x14ac:dyDescent="0.3">
      <c r="A224">
        <v>223</v>
      </c>
      <c r="B224">
        <v>20</v>
      </c>
      <c r="C224" t="s">
        <v>12</v>
      </c>
      <c r="D224" t="s">
        <v>13</v>
      </c>
      <c r="E224" t="s">
        <v>32</v>
      </c>
      <c r="F224">
        <v>4.5</v>
      </c>
      <c r="G224" t="s">
        <v>15</v>
      </c>
      <c r="H224" t="s">
        <v>22</v>
      </c>
      <c r="I224">
        <v>7.5</v>
      </c>
      <c r="J224">
        <v>8</v>
      </c>
      <c r="K224" t="s">
        <v>23</v>
      </c>
      <c r="L224">
        <v>5</v>
      </c>
      <c r="M224" t="str">
        <f>IF(Table1[[#This Row],[Age]]&lt;=18,"Teen",IF(Table1[[#This Row],[Age]]&lt;=21,"Young Adult","Adult"))</f>
        <v>Young Adult</v>
      </c>
      <c r="N224" t="str">
        <f t="shared" si="15"/>
        <v>High</v>
      </c>
      <c r="O224" t="str">
        <f t="shared" si="16"/>
        <v>Medium</v>
      </c>
      <c r="P224" t="str">
        <f t="shared" si="17"/>
        <v>Healthy</v>
      </c>
      <c r="Q224">
        <f t="shared" si="18"/>
        <v>0</v>
      </c>
      <c r="R224" t="str">
        <f t="shared" si="19"/>
        <v>Good</v>
      </c>
      <c r="S224">
        <f>COUNTIF('Students Social Media Addiction'!O:O,"High")/COUNTA(Table1[Student_ID])</f>
        <v>0.5787234042553191</v>
      </c>
      <c r="T224">
        <f>AVERAGE(Table1[Academic Impact Flag])</f>
        <v>0.64255319148936174</v>
      </c>
      <c r="U224">
        <f>AVERAGE(Table1[Sleep_Hours_Per_Night])</f>
        <v>6.868936170212768</v>
      </c>
      <c r="V224">
        <f>AVERAGE(Table1[Mental_Health_Score])</f>
        <v>6.2269503546099294</v>
      </c>
    </row>
    <row r="225" spans="1:22" x14ac:dyDescent="0.3">
      <c r="A225">
        <v>224</v>
      </c>
      <c r="B225">
        <v>22</v>
      </c>
      <c r="C225" t="s">
        <v>18</v>
      </c>
      <c r="D225" t="s">
        <v>19</v>
      </c>
      <c r="E225" t="s">
        <v>33</v>
      </c>
      <c r="F225">
        <v>4.2</v>
      </c>
      <c r="G225" t="s">
        <v>31</v>
      </c>
      <c r="H225" t="s">
        <v>22</v>
      </c>
      <c r="I225">
        <v>7.8</v>
      </c>
      <c r="J225">
        <v>7</v>
      </c>
      <c r="K225" t="s">
        <v>17</v>
      </c>
      <c r="L225">
        <v>4</v>
      </c>
      <c r="M225" t="str">
        <f>IF(Table1[[#This Row],[Age]]&lt;=18,"Teen",IF(Table1[[#This Row],[Age]]&lt;=21,"Young Adult","Adult"))</f>
        <v>Adult</v>
      </c>
      <c r="N225" t="str">
        <f t="shared" si="15"/>
        <v>High</v>
      </c>
      <c r="O225" t="str">
        <f t="shared" si="16"/>
        <v>Medium</v>
      </c>
      <c r="P225" t="str">
        <f t="shared" si="17"/>
        <v>Healthy</v>
      </c>
      <c r="Q225">
        <f t="shared" si="18"/>
        <v>0</v>
      </c>
      <c r="R225" t="str">
        <f t="shared" si="19"/>
        <v>Good</v>
      </c>
      <c r="S225">
        <f>COUNTIF('Students Social Media Addiction'!O:O,"High")/COUNTA(Table1[Student_ID])</f>
        <v>0.5787234042553191</v>
      </c>
      <c r="T225">
        <f>AVERAGE(Table1[Academic Impact Flag])</f>
        <v>0.64255319148936174</v>
      </c>
      <c r="U225">
        <f>AVERAGE(Table1[Sleep_Hours_Per_Night])</f>
        <v>6.868936170212768</v>
      </c>
      <c r="V225">
        <f>AVERAGE(Table1[Mental_Health_Score])</f>
        <v>6.2269503546099294</v>
      </c>
    </row>
    <row r="226" spans="1:22" x14ac:dyDescent="0.3">
      <c r="A226">
        <v>225</v>
      </c>
      <c r="B226">
        <v>19</v>
      </c>
      <c r="C226" t="s">
        <v>12</v>
      </c>
      <c r="D226" t="s">
        <v>13</v>
      </c>
      <c r="E226" t="s">
        <v>37</v>
      </c>
      <c r="F226">
        <v>3.8</v>
      </c>
      <c r="G226" t="s">
        <v>139</v>
      </c>
      <c r="H226" t="s">
        <v>22</v>
      </c>
      <c r="I226">
        <v>7.9</v>
      </c>
      <c r="J226">
        <v>8</v>
      </c>
      <c r="K226" t="s">
        <v>23</v>
      </c>
      <c r="L226">
        <v>3</v>
      </c>
      <c r="M226" t="str">
        <f>IF(Table1[[#This Row],[Age]]&lt;=18,"Teen",IF(Table1[[#This Row],[Age]]&lt;=21,"Young Adult","Adult"))</f>
        <v>Young Adult</v>
      </c>
      <c r="N226" t="str">
        <f t="shared" si="15"/>
        <v>Moderate</v>
      </c>
      <c r="O226" t="str">
        <f t="shared" si="16"/>
        <v>Low</v>
      </c>
      <c r="P226" t="str">
        <f t="shared" si="17"/>
        <v>Healthy</v>
      </c>
      <c r="Q226">
        <f t="shared" si="18"/>
        <v>0</v>
      </c>
      <c r="R226" t="str">
        <f t="shared" si="19"/>
        <v>Good</v>
      </c>
      <c r="S226">
        <f>COUNTIF('Students Social Media Addiction'!O:O,"High")/COUNTA(Table1[Student_ID])</f>
        <v>0.5787234042553191</v>
      </c>
      <c r="T226">
        <f>AVERAGE(Table1[Academic Impact Flag])</f>
        <v>0.64255319148936174</v>
      </c>
      <c r="U226">
        <f>AVERAGE(Table1[Sleep_Hours_Per_Night])</f>
        <v>6.868936170212768</v>
      </c>
      <c r="V226">
        <f>AVERAGE(Table1[Mental_Health_Score])</f>
        <v>6.2269503546099294</v>
      </c>
    </row>
    <row r="227" spans="1:22" x14ac:dyDescent="0.3">
      <c r="A227">
        <v>226</v>
      </c>
      <c r="B227">
        <v>21</v>
      </c>
      <c r="C227" t="s">
        <v>18</v>
      </c>
      <c r="D227" t="s">
        <v>19</v>
      </c>
      <c r="E227" t="s">
        <v>41</v>
      </c>
      <c r="F227">
        <v>5.5</v>
      </c>
      <c r="G227" t="s">
        <v>15</v>
      </c>
      <c r="H227" t="s">
        <v>16</v>
      </c>
      <c r="I227">
        <v>6.8</v>
      </c>
      <c r="J227">
        <v>6</v>
      </c>
      <c r="K227" t="s">
        <v>23</v>
      </c>
      <c r="L227">
        <v>7</v>
      </c>
      <c r="M227" t="str">
        <f>IF(Table1[[#This Row],[Age]]&lt;=18,"Teen",IF(Table1[[#This Row],[Age]]&lt;=21,"Young Adult","Adult"))</f>
        <v>Young Adult</v>
      </c>
      <c r="N227" t="str">
        <f t="shared" si="15"/>
        <v>High</v>
      </c>
      <c r="O227" t="str">
        <f t="shared" si="16"/>
        <v>High</v>
      </c>
      <c r="P227" t="str">
        <f t="shared" si="17"/>
        <v>Average</v>
      </c>
      <c r="Q227">
        <f t="shared" si="18"/>
        <v>1</v>
      </c>
      <c r="R227" t="str">
        <f t="shared" si="19"/>
        <v>Average</v>
      </c>
      <c r="S227">
        <f>COUNTIF('Students Social Media Addiction'!O:O,"High")/COUNTA(Table1[Student_ID])</f>
        <v>0.5787234042553191</v>
      </c>
      <c r="T227">
        <f>AVERAGE(Table1[Academic Impact Flag])</f>
        <v>0.64255319148936174</v>
      </c>
      <c r="U227">
        <f>AVERAGE(Table1[Sleep_Hours_Per_Night])</f>
        <v>6.868936170212768</v>
      </c>
      <c r="V227">
        <f>AVERAGE(Table1[Mental_Health_Score])</f>
        <v>6.2269503546099294</v>
      </c>
    </row>
    <row r="228" spans="1:22" x14ac:dyDescent="0.3">
      <c r="A228">
        <v>227</v>
      </c>
      <c r="B228">
        <v>20</v>
      </c>
      <c r="C228" t="s">
        <v>12</v>
      </c>
      <c r="D228" t="s">
        <v>13</v>
      </c>
      <c r="E228" t="s">
        <v>38</v>
      </c>
      <c r="F228">
        <v>5.2</v>
      </c>
      <c r="G228" t="s">
        <v>140</v>
      </c>
      <c r="H228" t="s">
        <v>16</v>
      </c>
      <c r="I228">
        <v>6.5</v>
      </c>
      <c r="J228">
        <v>6</v>
      </c>
      <c r="K228" t="s">
        <v>17</v>
      </c>
      <c r="L228">
        <v>6</v>
      </c>
      <c r="M228" t="str">
        <f>IF(Table1[[#This Row],[Age]]&lt;=18,"Teen",IF(Table1[[#This Row],[Age]]&lt;=21,"Young Adult","Adult"))</f>
        <v>Young Adult</v>
      </c>
      <c r="N228" t="str">
        <f t="shared" si="15"/>
        <v>High</v>
      </c>
      <c r="O228" t="str">
        <f t="shared" si="16"/>
        <v>Medium</v>
      </c>
      <c r="P228" t="str">
        <f t="shared" si="17"/>
        <v>Average</v>
      </c>
      <c r="Q228">
        <f t="shared" si="18"/>
        <v>1</v>
      </c>
      <c r="R228" t="str">
        <f t="shared" si="19"/>
        <v>Average</v>
      </c>
      <c r="S228">
        <f>COUNTIF('Students Social Media Addiction'!O:O,"High")/COUNTA(Table1[Student_ID])</f>
        <v>0.5787234042553191</v>
      </c>
      <c r="T228">
        <f>AVERAGE(Table1[Academic Impact Flag])</f>
        <v>0.64255319148936174</v>
      </c>
      <c r="U228">
        <f>AVERAGE(Table1[Sleep_Hours_Per_Night])</f>
        <v>6.868936170212768</v>
      </c>
      <c r="V228">
        <f>AVERAGE(Table1[Mental_Health_Score])</f>
        <v>6.2269503546099294</v>
      </c>
    </row>
    <row r="229" spans="1:22" x14ac:dyDescent="0.3">
      <c r="A229">
        <v>228</v>
      </c>
      <c r="B229">
        <v>22</v>
      </c>
      <c r="C229" t="s">
        <v>18</v>
      </c>
      <c r="D229" t="s">
        <v>19</v>
      </c>
      <c r="E229" t="s">
        <v>43</v>
      </c>
      <c r="F229">
        <v>4.8</v>
      </c>
      <c r="G229" t="s">
        <v>141</v>
      </c>
      <c r="H229" t="s">
        <v>22</v>
      </c>
      <c r="I229">
        <v>7.2</v>
      </c>
      <c r="J229">
        <v>7</v>
      </c>
      <c r="K229" t="s">
        <v>23</v>
      </c>
      <c r="L229">
        <v>5</v>
      </c>
      <c r="M229" t="str">
        <f>IF(Table1[[#This Row],[Age]]&lt;=18,"Teen",IF(Table1[[#This Row],[Age]]&lt;=21,"Young Adult","Adult"))</f>
        <v>Adult</v>
      </c>
      <c r="N229" t="str">
        <f t="shared" si="15"/>
        <v>High</v>
      </c>
      <c r="O229" t="str">
        <f t="shared" si="16"/>
        <v>Medium</v>
      </c>
      <c r="P229" t="str">
        <f t="shared" si="17"/>
        <v>Healthy</v>
      </c>
      <c r="Q229">
        <f t="shared" si="18"/>
        <v>0</v>
      </c>
      <c r="R229" t="str">
        <f t="shared" si="19"/>
        <v>Good</v>
      </c>
      <c r="S229">
        <f>COUNTIF('Students Social Media Addiction'!O:O,"High")/COUNTA(Table1[Student_ID])</f>
        <v>0.5787234042553191</v>
      </c>
      <c r="T229">
        <f>AVERAGE(Table1[Academic Impact Flag])</f>
        <v>0.64255319148936174</v>
      </c>
      <c r="U229">
        <f>AVERAGE(Table1[Sleep_Hours_Per_Night])</f>
        <v>6.868936170212768</v>
      </c>
      <c r="V229">
        <f>AVERAGE(Table1[Mental_Health_Score])</f>
        <v>6.2269503546099294</v>
      </c>
    </row>
    <row r="230" spans="1:22" x14ac:dyDescent="0.3">
      <c r="A230">
        <v>229</v>
      </c>
      <c r="B230">
        <v>19</v>
      </c>
      <c r="C230" t="s">
        <v>12</v>
      </c>
      <c r="D230" t="s">
        <v>13</v>
      </c>
      <c r="E230" t="s">
        <v>24</v>
      </c>
      <c r="F230">
        <v>7</v>
      </c>
      <c r="G230" t="s">
        <v>25</v>
      </c>
      <c r="H230" t="s">
        <v>16</v>
      </c>
      <c r="I230">
        <v>5.8</v>
      </c>
      <c r="J230">
        <v>4</v>
      </c>
      <c r="K230" t="s">
        <v>17</v>
      </c>
      <c r="L230">
        <v>9</v>
      </c>
      <c r="M230" t="str">
        <f>IF(Table1[[#This Row],[Age]]&lt;=18,"Teen",IF(Table1[[#This Row],[Age]]&lt;=21,"Young Adult","Adult"))</f>
        <v>Young Adult</v>
      </c>
      <c r="N230" t="str">
        <f t="shared" si="15"/>
        <v>Very High</v>
      </c>
      <c r="O230" t="str">
        <f t="shared" si="16"/>
        <v>High</v>
      </c>
      <c r="P230" t="str">
        <f t="shared" si="17"/>
        <v>Poor</v>
      </c>
      <c r="Q230">
        <f t="shared" si="18"/>
        <v>1</v>
      </c>
      <c r="R230" t="str">
        <f t="shared" si="19"/>
        <v>Poor</v>
      </c>
      <c r="S230">
        <f>COUNTIF('Students Social Media Addiction'!O:O,"High")/COUNTA(Table1[Student_ID])</f>
        <v>0.5787234042553191</v>
      </c>
      <c r="T230">
        <f>AVERAGE(Table1[Academic Impact Flag])</f>
        <v>0.64255319148936174</v>
      </c>
      <c r="U230">
        <f>AVERAGE(Table1[Sleep_Hours_Per_Night])</f>
        <v>6.868936170212768</v>
      </c>
      <c r="V230">
        <f>AVERAGE(Table1[Mental_Health_Score])</f>
        <v>6.2269503546099294</v>
      </c>
    </row>
    <row r="231" spans="1:22" x14ac:dyDescent="0.3">
      <c r="A231">
        <v>230</v>
      </c>
      <c r="B231">
        <v>21</v>
      </c>
      <c r="C231" t="s">
        <v>18</v>
      </c>
      <c r="D231" t="s">
        <v>19</v>
      </c>
      <c r="E231" t="s">
        <v>28</v>
      </c>
      <c r="F231">
        <v>5.5</v>
      </c>
      <c r="G231" t="s">
        <v>15</v>
      </c>
      <c r="H231" t="s">
        <v>16</v>
      </c>
      <c r="I231">
        <v>6.7</v>
      </c>
      <c r="J231">
        <v>6</v>
      </c>
      <c r="K231" t="s">
        <v>23</v>
      </c>
      <c r="L231">
        <v>7</v>
      </c>
      <c r="M231" t="str">
        <f>IF(Table1[[#This Row],[Age]]&lt;=18,"Teen",IF(Table1[[#This Row],[Age]]&lt;=21,"Young Adult","Adult"))</f>
        <v>Young Adult</v>
      </c>
      <c r="N231" t="str">
        <f t="shared" si="15"/>
        <v>High</v>
      </c>
      <c r="O231" t="str">
        <f t="shared" si="16"/>
        <v>High</v>
      </c>
      <c r="P231" t="str">
        <f t="shared" si="17"/>
        <v>Average</v>
      </c>
      <c r="Q231">
        <f t="shared" si="18"/>
        <v>1</v>
      </c>
      <c r="R231" t="str">
        <f t="shared" si="19"/>
        <v>Average</v>
      </c>
      <c r="S231">
        <f>COUNTIF('Students Social Media Addiction'!O:O,"High")/COUNTA(Table1[Student_ID])</f>
        <v>0.5787234042553191</v>
      </c>
      <c r="T231">
        <f>AVERAGE(Table1[Academic Impact Flag])</f>
        <v>0.64255319148936174</v>
      </c>
      <c r="U231">
        <f>AVERAGE(Table1[Sleep_Hours_Per_Night])</f>
        <v>6.868936170212768</v>
      </c>
      <c r="V231">
        <f>AVERAGE(Table1[Mental_Health_Score])</f>
        <v>6.2269503546099294</v>
      </c>
    </row>
    <row r="232" spans="1:22" x14ac:dyDescent="0.3">
      <c r="A232">
        <v>231</v>
      </c>
      <c r="B232">
        <v>20</v>
      </c>
      <c r="C232" t="s">
        <v>12</v>
      </c>
      <c r="D232" t="s">
        <v>13</v>
      </c>
      <c r="E232" t="s">
        <v>32</v>
      </c>
      <c r="F232">
        <v>4.7</v>
      </c>
      <c r="G232" t="s">
        <v>31</v>
      </c>
      <c r="H232" t="s">
        <v>22</v>
      </c>
      <c r="I232">
        <v>7.4</v>
      </c>
      <c r="J232">
        <v>7</v>
      </c>
      <c r="K232" t="s">
        <v>17</v>
      </c>
      <c r="L232">
        <v>5</v>
      </c>
      <c r="M232" t="str">
        <f>IF(Table1[[#This Row],[Age]]&lt;=18,"Teen",IF(Table1[[#This Row],[Age]]&lt;=21,"Young Adult","Adult"))</f>
        <v>Young Adult</v>
      </c>
      <c r="N232" t="str">
        <f t="shared" si="15"/>
        <v>High</v>
      </c>
      <c r="O232" t="str">
        <f t="shared" si="16"/>
        <v>Medium</v>
      </c>
      <c r="P232" t="str">
        <f t="shared" si="17"/>
        <v>Healthy</v>
      </c>
      <c r="Q232">
        <f t="shared" si="18"/>
        <v>0</v>
      </c>
      <c r="R232" t="str">
        <f t="shared" si="19"/>
        <v>Good</v>
      </c>
      <c r="S232">
        <f>COUNTIF('Students Social Media Addiction'!O:O,"High")/COUNTA(Table1[Student_ID])</f>
        <v>0.5787234042553191</v>
      </c>
      <c r="T232">
        <f>AVERAGE(Table1[Academic Impact Flag])</f>
        <v>0.64255319148936174</v>
      </c>
      <c r="U232">
        <f>AVERAGE(Table1[Sleep_Hours_Per_Night])</f>
        <v>6.868936170212768</v>
      </c>
      <c r="V232">
        <f>AVERAGE(Table1[Mental_Health_Score])</f>
        <v>6.2269503546099294</v>
      </c>
    </row>
    <row r="233" spans="1:22" x14ac:dyDescent="0.3">
      <c r="A233">
        <v>232</v>
      </c>
      <c r="B233">
        <v>22</v>
      </c>
      <c r="C233" t="s">
        <v>18</v>
      </c>
      <c r="D233" t="s">
        <v>19</v>
      </c>
      <c r="E233" t="s">
        <v>33</v>
      </c>
      <c r="F233">
        <v>4</v>
      </c>
      <c r="G233" t="s">
        <v>15</v>
      </c>
      <c r="H233" t="s">
        <v>22</v>
      </c>
      <c r="I233">
        <v>7.9</v>
      </c>
      <c r="J233">
        <v>8</v>
      </c>
      <c r="K233" t="s">
        <v>23</v>
      </c>
      <c r="L233">
        <v>4</v>
      </c>
      <c r="M233" t="str">
        <f>IF(Table1[[#This Row],[Age]]&lt;=18,"Teen",IF(Table1[[#This Row],[Age]]&lt;=21,"Young Adult","Adult"))</f>
        <v>Adult</v>
      </c>
      <c r="N233" t="str">
        <f t="shared" si="15"/>
        <v>High</v>
      </c>
      <c r="O233" t="str">
        <f t="shared" si="16"/>
        <v>Medium</v>
      </c>
      <c r="P233" t="str">
        <f t="shared" si="17"/>
        <v>Healthy</v>
      </c>
      <c r="Q233">
        <f t="shared" si="18"/>
        <v>0</v>
      </c>
      <c r="R233" t="str">
        <f t="shared" si="19"/>
        <v>Good</v>
      </c>
      <c r="S233">
        <f>COUNTIF('Students Social Media Addiction'!O:O,"High")/COUNTA(Table1[Student_ID])</f>
        <v>0.5787234042553191</v>
      </c>
      <c r="T233">
        <f>AVERAGE(Table1[Academic Impact Flag])</f>
        <v>0.64255319148936174</v>
      </c>
      <c r="U233">
        <f>AVERAGE(Table1[Sleep_Hours_Per_Night])</f>
        <v>6.868936170212768</v>
      </c>
      <c r="V233">
        <f>AVERAGE(Table1[Mental_Health_Score])</f>
        <v>6.2269503546099294</v>
      </c>
    </row>
    <row r="234" spans="1:22" x14ac:dyDescent="0.3">
      <c r="A234">
        <v>233</v>
      </c>
      <c r="B234">
        <v>19</v>
      </c>
      <c r="C234" t="s">
        <v>12</v>
      </c>
      <c r="D234" t="s">
        <v>13</v>
      </c>
      <c r="E234" t="s">
        <v>37</v>
      </c>
      <c r="F234">
        <v>3.5</v>
      </c>
      <c r="G234" t="s">
        <v>139</v>
      </c>
      <c r="H234" t="s">
        <v>22</v>
      </c>
      <c r="I234">
        <v>8</v>
      </c>
      <c r="J234">
        <v>8</v>
      </c>
      <c r="K234" t="s">
        <v>23</v>
      </c>
      <c r="L234">
        <v>3</v>
      </c>
      <c r="M234" t="str">
        <f>IF(Table1[[#This Row],[Age]]&lt;=18,"Teen",IF(Table1[[#This Row],[Age]]&lt;=21,"Young Adult","Adult"))</f>
        <v>Young Adult</v>
      </c>
      <c r="N234" t="str">
        <f t="shared" si="15"/>
        <v>Moderate</v>
      </c>
      <c r="O234" t="str">
        <f t="shared" si="16"/>
        <v>Low</v>
      </c>
      <c r="P234" t="str">
        <f t="shared" si="17"/>
        <v>Healthy</v>
      </c>
      <c r="Q234">
        <f t="shared" si="18"/>
        <v>0</v>
      </c>
      <c r="R234" t="str">
        <f t="shared" si="19"/>
        <v>Good</v>
      </c>
      <c r="S234">
        <f>COUNTIF('Students Social Media Addiction'!O:O,"High")/COUNTA(Table1[Student_ID])</f>
        <v>0.5787234042553191</v>
      </c>
      <c r="T234">
        <f>AVERAGE(Table1[Academic Impact Flag])</f>
        <v>0.64255319148936174</v>
      </c>
      <c r="U234">
        <f>AVERAGE(Table1[Sleep_Hours_Per_Night])</f>
        <v>6.868936170212768</v>
      </c>
      <c r="V234">
        <f>AVERAGE(Table1[Mental_Health_Score])</f>
        <v>6.2269503546099294</v>
      </c>
    </row>
    <row r="235" spans="1:22" x14ac:dyDescent="0.3">
      <c r="A235">
        <v>234</v>
      </c>
      <c r="B235">
        <v>21</v>
      </c>
      <c r="C235" t="s">
        <v>18</v>
      </c>
      <c r="D235" t="s">
        <v>19</v>
      </c>
      <c r="E235" t="s">
        <v>41</v>
      </c>
      <c r="F235">
        <v>5.7</v>
      </c>
      <c r="G235" t="s">
        <v>25</v>
      </c>
      <c r="H235" t="s">
        <v>16</v>
      </c>
      <c r="I235">
        <v>6.5</v>
      </c>
      <c r="J235">
        <v>5</v>
      </c>
      <c r="K235" t="s">
        <v>17</v>
      </c>
      <c r="L235">
        <v>8</v>
      </c>
      <c r="M235" t="str">
        <f>IF(Table1[[#This Row],[Age]]&lt;=18,"Teen",IF(Table1[[#This Row],[Age]]&lt;=21,"Young Adult","Adult"))</f>
        <v>Young Adult</v>
      </c>
      <c r="N235" t="str">
        <f t="shared" si="15"/>
        <v>High</v>
      </c>
      <c r="O235" t="str">
        <f t="shared" si="16"/>
        <v>High</v>
      </c>
      <c r="P235" t="str">
        <f t="shared" si="17"/>
        <v>Average</v>
      </c>
      <c r="Q235">
        <f t="shared" si="18"/>
        <v>1</v>
      </c>
      <c r="R235" t="str">
        <f t="shared" si="19"/>
        <v>Average</v>
      </c>
      <c r="S235">
        <f>COUNTIF('Students Social Media Addiction'!O:O,"High")/COUNTA(Table1[Student_ID])</f>
        <v>0.5787234042553191</v>
      </c>
      <c r="T235">
        <f>AVERAGE(Table1[Academic Impact Flag])</f>
        <v>0.64255319148936174</v>
      </c>
      <c r="U235">
        <f>AVERAGE(Table1[Sleep_Hours_Per_Night])</f>
        <v>6.868936170212768</v>
      </c>
      <c r="V235">
        <f>AVERAGE(Table1[Mental_Health_Score])</f>
        <v>6.2269503546099294</v>
      </c>
    </row>
    <row r="236" spans="1:22" x14ac:dyDescent="0.3">
      <c r="A236">
        <v>235</v>
      </c>
      <c r="B236">
        <v>20</v>
      </c>
      <c r="C236" t="s">
        <v>12</v>
      </c>
      <c r="D236" t="s">
        <v>13</v>
      </c>
      <c r="E236" t="s">
        <v>38</v>
      </c>
      <c r="F236">
        <v>5</v>
      </c>
      <c r="G236" t="s">
        <v>140</v>
      </c>
      <c r="H236" t="s">
        <v>16</v>
      </c>
      <c r="I236">
        <v>6.8</v>
      </c>
      <c r="J236">
        <v>6</v>
      </c>
      <c r="K236" t="s">
        <v>23</v>
      </c>
      <c r="L236">
        <v>6</v>
      </c>
      <c r="M236" t="str">
        <f>IF(Table1[[#This Row],[Age]]&lt;=18,"Teen",IF(Table1[[#This Row],[Age]]&lt;=21,"Young Adult","Adult"))</f>
        <v>Young Adult</v>
      </c>
      <c r="N236" t="str">
        <f t="shared" si="15"/>
        <v>High</v>
      </c>
      <c r="O236" t="str">
        <f t="shared" si="16"/>
        <v>Medium</v>
      </c>
      <c r="P236" t="str">
        <f t="shared" si="17"/>
        <v>Average</v>
      </c>
      <c r="Q236">
        <f t="shared" si="18"/>
        <v>1</v>
      </c>
      <c r="R236" t="str">
        <f t="shared" si="19"/>
        <v>Average</v>
      </c>
      <c r="S236">
        <f>COUNTIF('Students Social Media Addiction'!O:O,"High")/COUNTA(Table1[Student_ID])</f>
        <v>0.5787234042553191</v>
      </c>
      <c r="T236">
        <f>AVERAGE(Table1[Academic Impact Flag])</f>
        <v>0.64255319148936174</v>
      </c>
      <c r="U236">
        <f>AVERAGE(Table1[Sleep_Hours_Per_Night])</f>
        <v>6.868936170212768</v>
      </c>
      <c r="V236">
        <f>AVERAGE(Table1[Mental_Health_Score])</f>
        <v>6.2269503546099294</v>
      </c>
    </row>
    <row r="237" spans="1:22" x14ac:dyDescent="0.3">
      <c r="A237">
        <v>236</v>
      </c>
      <c r="B237">
        <v>22</v>
      </c>
      <c r="C237" t="s">
        <v>18</v>
      </c>
      <c r="D237" t="s">
        <v>19</v>
      </c>
      <c r="E237" t="s">
        <v>43</v>
      </c>
      <c r="F237">
        <v>4.5</v>
      </c>
      <c r="G237" t="s">
        <v>141</v>
      </c>
      <c r="H237" t="s">
        <v>22</v>
      </c>
      <c r="I237">
        <v>7.4</v>
      </c>
      <c r="J237">
        <v>7</v>
      </c>
      <c r="K237" t="s">
        <v>17</v>
      </c>
      <c r="L237">
        <v>5</v>
      </c>
      <c r="M237" t="str">
        <f>IF(Table1[[#This Row],[Age]]&lt;=18,"Teen",IF(Table1[[#This Row],[Age]]&lt;=21,"Young Adult","Adult"))</f>
        <v>Adult</v>
      </c>
      <c r="N237" t="str">
        <f t="shared" si="15"/>
        <v>High</v>
      </c>
      <c r="O237" t="str">
        <f t="shared" si="16"/>
        <v>Medium</v>
      </c>
      <c r="P237" t="str">
        <f t="shared" si="17"/>
        <v>Healthy</v>
      </c>
      <c r="Q237">
        <f t="shared" si="18"/>
        <v>0</v>
      </c>
      <c r="R237" t="str">
        <f t="shared" si="19"/>
        <v>Good</v>
      </c>
      <c r="S237">
        <f>COUNTIF('Students Social Media Addiction'!O:O,"High")/COUNTA(Table1[Student_ID])</f>
        <v>0.5787234042553191</v>
      </c>
      <c r="T237">
        <f>AVERAGE(Table1[Academic Impact Flag])</f>
        <v>0.64255319148936174</v>
      </c>
      <c r="U237">
        <f>AVERAGE(Table1[Sleep_Hours_Per_Night])</f>
        <v>6.868936170212768</v>
      </c>
      <c r="V237">
        <f>AVERAGE(Table1[Mental_Health_Score])</f>
        <v>6.2269503546099294</v>
      </c>
    </row>
    <row r="238" spans="1:22" x14ac:dyDescent="0.3">
      <c r="A238">
        <v>237</v>
      </c>
      <c r="B238">
        <v>19</v>
      </c>
      <c r="C238" t="s">
        <v>12</v>
      </c>
      <c r="D238" t="s">
        <v>13</v>
      </c>
      <c r="E238" t="s">
        <v>24</v>
      </c>
      <c r="F238">
        <v>6.8</v>
      </c>
      <c r="G238" t="s">
        <v>15</v>
      </c>
      <c r="H238" t="s">
        <v>16</v>
      </c>
      <c r="I238">
        <v>5.9</v>
      </c>
      <c r="J238">
        <v>4</v>
      </c>
      <c r="K238" t="s">
        <v>23</v>
      </c>
      <c r="L238">
        <v>9</v>
      </c>
      <c r="M238" t="str">
        <f>IF(Table1[[#This Row],[Age]]&lt;=18,"Teen",IF(Table1[[#This Row],[Age]]&lt;=21,"Young Adult","Adult"))</f>
        <v>Young Adult</v>
      </c>
      <c r="N238" t="str">
        <f t="shared" si="15"/>
        <v>Very High</v>
      </c>
      <c r="O238" t="str">
        <f t="shared" si="16"/>
        <v>High</v>
      </c>
      <c r="P238" t="str">
        <f t="shared" si="17"/>
        <v>Poor</v>
      </c>
      <c r="Q238">
        <f t="shared" si="18"/>
        <v>1</v>
      </c>
      <c r="R238" t="str">
        <f t="shared" si="19"/>
        <v>Poor</v>
      </c>
      <c r="S238">
        <f>COUNTIF('Students Social Media Addiction'!O:O,"High")/COUNTA(Table1[Student_ID])</f>
        <v>0.5787234042553191</v>
      </c>
      <c r="T238">
        <f>AVERAGE(Table1[Academic Impact Flag])</f>
        <v>0.64255319148936174</v>
      </c>
      <c r="U238">
        <f>AVERAGE(Table1[Sleep_Hours_Per_Night])</f>
        <v>6.868936170212768</v>
      </c>
      <c r="V238">
        <f>AVERAGE(Table1[Mental_Health_Score])</f>
        <v>6.2269503546099294</v>
      </c>
    </row>
    <row r="239" spans="1:22" x14ac:dyDescent="0.3">
      <c r="A239">
        <v>238</v>
      </c>
      <c r="B239">
        <v>21</v>
      </c>
      <c r="C239" t="s">
        <v>18</v>
      </c>
      <c r="D239" t="s">
        <v>19</v>
      </c>
      <c r="E239" t="s">
        <v>28</v>
      </c>
      <c r="F239">
        <v>5.6</v>
      </c>
      <c r="G239" t="s">
        <v>31</v>
      </c>
      <c r="H239" t="s">
        <v>16</v>
      </c>
      <c r="I239">
        <v>6.6</v>
      </c>
      <c r="J239">
        <v>6</v>
      </c>
      <c r="K239" t="s">
        <v>17</v>
      </c>
      <c r="L239">
        <v>7</v>
      </c>
      <c r="M239" t="str">
        <f>IF(Table1[[#This Row],[Age]]&lt;=18,"Teen",IF(Table1[[#This Row],[Age]]&lt;=21,"Young Adult","Adult"))</f>
        <v>Young Adult</v>
      </c>
      <c r="N239" t="str">
        <f t="shared" si="15"/>
        <v>High</v>
      </c>
      <c r="O239" t="str">
        <f t="shared" si="16"/>
        <v>High</v>
      </c>
      <c r="P239" t="str">
        <f t="shared" si="17"/>
        <v>Average</v>
      </c>
      <c r="Q239">
        <f t="shared" si="18"/>
        <v>1</v>
      </c>
      <c r="R239" t="str">
        <f t="shared" si="19"/>
        <v>Average</v>
      </c>
      <c r="S239">
        <f>COUNTIF('Students Social Media Addiction'!O:O,"High")/COUNTA(Table1[Student_ID])</f>
        <v>0.5787234042553191</v>
      </c>
      <c r="T239">
        <f>AVERAGE(Table1[Academic Impact Flag])</f>
        <v>0.64255319148936174</v>
      </c>
      <c r="U239">
        <f>AVERAGE(Table1[Sleep_Hours_Per_Night])</f>
        <v>6.868936170212768</v>
      </c>
      <c r="V239">
        <f>AVERAGE(Table1[Mental_Health_Score])</f>
        <v>6.2269503546099294</v>
      </c>
    </row>
    <row r="240" spans="1:22" x14ac:dyDescent="0.3">
      <c r="A240">
        <v>239</v>
      </c>
      <c r="B240">
        <v>20</v>
      </c>
      <c r="C240" t="s">
        <v>12</v>
      </c>
      <c r="D240" t="s">
        <v>13</v>
      </c>
      <c r="E240" t="s">
        <v>32</v>
      </c>
      <c r="F240">
        <v>4.5999999999999996</v>
      </c>
      <c r="G240" t="s">
        <v>15</v>
      </c>
      <c r="H240" t="s">
        <v>22</v>
      </c>
      <c r="I240">
        <v>7.3</v>
      </c>
      <c r="J240">
        <v>7</v>
      </c>
      <c r="K240" t="s">
        <v>23</v>
      </c>
      <c r="L240">
        <v>5</v>
      </c>
      <c r="M240" t="str">
        <f>IF(Table1[[#This Row],[Age]]&lt;=18,"Teen",IF(Table1[[#This Row],[Age]]&lt;=21,"Young Adult","Adult"))</f>
        <v>Young Adult</v>
      </c>
      <c r="N240" t="str">
        <f t="shared" si="15"/>
        <v>High</v>
      </c>
      <c r="O240" t="str">
        <f t="shared" si="16"/>
        <v>Medium</v>
      </c>
      <c r="P240" t="str">
        <f t="shared" si="17"/>
        <v>Healthy</v>
      </c>
      <c r="Q240">
        <f t="shared" si="18"/>
        <v>0</v>
      </c>
      <c r="R240" t="str">
        <f t="shared" si="19"/>
        <v>Good</v>
      </c>
      <c r="S240">
        <f>COUNTIF('Students Social Media Addiction'!O:O,"High")/COUNTA(Table1[Student_ID])</f>
        <v>0.5787234042553191</v>
      </c>
      <c r="T240">
        <f>AVERAGE(Table1[Academic Impact Flag])</f>
        <v>0.64255319148936174</v>
      </c>
      <c r="U240">
        <f>AVERAGE(Table1[Sleep_Hours_Per_Night])</f>
        <v>6.868936170212768</v>
      </c>
      <c r="V240">
        <f>AVERAGE(Table1[Mental_Health_Score])</f>
        <v>6.2269503546099294</v>
      </c>
    </row>
    <row r="241" spans="1:22" x14ac:dyDescent="0.3">
      <c r="A241">
        <v>240</v>
      </c>
      <c r="B241">
        <v>22</v>
      </c>
      <c r="C241" t="s">
        <v>18</v>
      </c>
      <c r="D241" t="s">
        <v>19</v>
      </c>
      <c r="E241" t="s">
        <v>33</v>
      </c>
      <c r="F241">
        <v>4.0999999999999996</v>
      </c>
      <c r="G241" t="s">
        <v>31</v>
      </c>
      <c r="H241" t="s">
        <v>22</v>
      </c>
      <c r="I241">
        <v>7.7</v>
      </c>
      <c r="J241">
        <v>8</v>
      </c>
      <c r="K241" t="s">
        <v>17</v>
      </c>
      <c r="L241">
        <v>4</v>
      </c>
      <c r="M241" t="str">
        <f>IF(Table1[[#This Row],[Age]]&lt;=18,"Teen",IF(Table1[[#This Row],[Age]]&lt;=21,"Young Adult","Adult"))</f>
        <v>Adult</v>
      </c>
      <c r="N241" t="str">
        <f t="shared" si="15"/>
        <v>High</v>
      </c>
      <c r="O241" t="str">
        <f t="shared" si="16"/>
        <v>Medium</v>
      </c>
      <c r="P241" t="str">
        <f t="shared" si="17"/>
        <v>Healthy</v>
      </c>
      <c r="Q241">
        <f t="shared" si="18"/>
        <v>0</v>
      </c>
      <c r="R241" t="str">
        <f t="shared" si="19"/>
        <v>Good</v>
      </c>
      <c r="S241">
        <f>COUNTIF('Students Social Media Addiction'!O:O,"High")/COUNTA(Table1[Student_ID])</f>
        <v>0.5787234042553191</v>
      </c>
      <c r="T241">
        <f>AVERAGE(Table1[Academic Impact Flag])</f>
        <v>0.64255319148936174</v>
      </c>
      <c r="U241">
        <f>AVERAGE(Table1[Sleep_Hours_Per_Night])</f>
        <v>6.868936170212768</v>
      </c>
      <c r="V241">
        <f>AVERAGE(Table1[Mental_Health_Score])</f>
        <v>6.2269503546099294</v>
      </c>
    </row>
    <row r="242" spans="1:22" x14ac:dyDescent="0.3">
      <c r="A242">
        <v>241</v>
      </c>
      <c r="B242">
        <v>19</v>
      </c>
      <c r="C242" t="s">
        <v>12</v>
      </c>
      <c r="D242" t="s">
        <v>13</v>
      </c>
      <c r="E242" t="s">
        <v>37</v>
      </c>
      <c r="F242">
        <v>3.7</v>
      </c>
      <c r="G242" t="s">
        <v>139</v>
      </c>
      <c r="H242" t="s">
        <v>22</v>
      </c>
      <c r="I242">
        <v>7.8</v>
      </c>
      <c r="J242">
        <v>8</v>
      </c>
      <c r="K242" t="s">
        <v>23</v>
      </c>
      <c r="L242">
        <v>3</v>
      </c>
      <c r="M242" t="str">
        <f>IF(Table1[[#This Row],[Age]]&lt;=18,"Teen",IF(Table1[[#This Row],[Age]]&lt;=21,"Young Adult","Adult"))</f>
        <v>Young Adult</v>
      </c>
      <c r="N242" t="str">
        <f t="shared" si="15"/>
        <v>Moderate</v>
      </c>
      <c r="O242" t="str">
        <f t="shared" si="16"/>
        <v>Low</v>
      </c>
      <c r="P242" t="str">
        <f t="shared" si="17"/>
        <v>Healthy</v>
      </c>
      <c r="Q242">
        <f t="shared" si="18"/>
        <v>0</v>
      </c>
      <c r="R242" t="str">
        <f t="shared" si="19"/>
        <v>Good</v>
      </c>
      <c r="S242">
        <f>COUNTIF('Students Social Media Addiction'!O:O,"High")/COUNTA(Table1[Student_ID])</f>
        <v>0.5787234042553191</v>
      </c>
      <c r="T242">
        <f>AVERAGE(Table1[Academic Impact Flag])</f>
        <v>0.64255319148936174</v>
      </c>
      <c r="U242">
        <f>AVERAGE(Table1[Sleep_Hours_Per_Night])</f>
        <v>6.868936170212768</v>
      </c>
      <c r="V242">
        <f>AVERAGE(Table1[Mental_Health_Score])</f>
        <v>6.2269503546099294</v>
      </c>
    </row>
    <row r="243" spans="1:22" x14ac:dyDescent="0.3">
      <c r="A243">
        <v>242</v>
      </c>
      <c r="B243">
        <v>21</v>
      </c>
      <c r="C243" t="s">
        <v>18</v>
      </c>
      <c r="D243" t="s">
        <v>19</v>
      </c>
      <c r="E243" t="s">
        <v>41</v>
      </c>
      <c r="F243">
        <v>5.4</v>
      </c>
      <c r="G243" t="s">
        <v>15</v>
      </c>
      <c r="H243" t="s">
        <v>16</v>
      </c>
      <c r="I243">
        <v>6.7</v>
      </c>
      <c r="J243">
        <v>5</v>
      </c>
      <c r="K243" t="s">
        <v>23</v>
      </c>
      <c r="L243">
        <v>7</v>
      </c>
      <c r="M243" t="str">
        <f>IF(Table1[[#This Row],[Age]]&lt;=18,"Teen",IF(Table1[[#This Row],[Age]]&lt;=21,"Young Adult","Adult"))</f>
        <v>Young Adult</v>
      </c>
      <c r="N243" t="str">
        <f t="shared" si="15"/>
        <v>High</v>
      </c>
      <c r="O243" t="str">
        <f t="shared" si="16"/>
        <v>High</v>
      </c>
      <c r="P243" t="str">
        <f t="shared" si="17"/>
        <v>Average</v>
      </c>
      <c r="Q243">
        <f t="shared" si="18"/>
        <v>1</v>
      </c>
      <c r="R243" t="str">
        <f t="shared" si="19"/>
        <v>Average</v>
      </c>
      <c r="S243">
        <f>COUNTIF('Students Social Media Addiction'!O:O,"High")/COUNTA(Table1[Student_ID])</f>
        <v>0.5787234042553191</v>
      </c>
      <c r="T243">
        <f>AVERAGE(Table1[Academic Impact Flag])</f>
        <v>0.64255319148936174</v>
      </c>
      <c r="U243">
        <f>AVERAGE(Table1[Sleep_Hours_Per_Night])</f>
        <v>6.868936170212768</v>
      </c>
      <c r="V243">
        <f>AVERAGE(Table1[Mental_Health_Score])</f>
        <v>6.2269503546099294</v>
      </c>
    </row>
    <row r="244" spans="1:22" x14ac:dyDescent="0.3">
      <c r="A244">
        <v>243</v>
      </c>
      <c r="B244">
        <v>20</v>
      </c>
      <c r="C244" t="s">
        <v>12</v>
      </c>
      <c r="D244" t="s">
        <v>13</v>
      </c>
      <c r="E244" t="s">
        <v>38</v>
      </c>
      <c r="F244">
        <v>5.0999999999999996</v>
      </c>
      <c r="G244" t="s">
        <v>140</v>
      </c>
      <c r="H244" t="s">
        <v>16</v>
      </c>
      <c r="I244">
        <v>6.6</v>
      </c>
      <c r="J244">
        <v>6</v>
      </c>
      <c r="K244" t="s">
        <v>17</v>
      </c>
      <c r="L244">
        <v>6</v>
      </c>
      <c r="M244" t="str">
        <f>IF(Table1[[#This Row],[Age]]&lt;=18,"Teen",IF(Table1[[#This Row],[Age]]&lt;=21,"Young Adult","Adult"))</f>
        <v>Young Adult</v>
      </c>
      <c r="N244" t="str">
        <f t="shared" si="15"/>
        <v>High</v>
      </c>
      <c r="O244" t="str">
        <f t="shared" si="16"/>
        <v>Medium</v>
      </c>
      <c r="P244" t="str">
        <f t="shared" si="17"/>
        <v>Average</v>
      </c>
      <c r="Q244">
        <f t="shared" si="18"/>
        <v>1</v>
      </c>
      <c r="R244" t="str">
        <f t="shared" si="19"/>
        <v>Average</v>
      </c>
      <c r="S244">
        <f>COUNTIF('Students Social Media Addiction'!O:O,"High")/COUNTA(Table1[Student_ID])</f>
        <v>0.5787234042553191</v>
      </c>
      <c r="T244">
        <f>AVERAGE(Table1[Academic Impact Flag])</f>
        <v>0.64255319148936174</v>
      </c>
      <c r="U244">
        <f>AVERAGE(Table1[Sleep_Hours_Per_Night])</f>
        <v>6.868936170212768</v>
      </c>
      <c r="V244">
        <f>AVERAGE(Table1[Mental_Health_Score])</f>
        <v>6.2269503546099294</v>
      </c>
    </row>
    <row r="245" spans="1:22" x14ac:dyDescent="0.3">
      <c r="A245">
        <v>244</v>
      </c>
      <c r="B245">
        <v>22</v>
      </c>
      <c r="C245" t="s">
        <v>18</v>
      </c>
      <c r="D245" t="s">
        <v>19</v>
      </c>
      <c r="E245" t="s">
        <v>43</v>
      </c>
      <c r="F245">
        <v>4.7</v>
      </c>
      <c r="G245" t="s">
        <v>141</v>
      </c>
      <c r="H245" t="s">
        <v>22</v>
      </c>
      <c r="I245">
        <v>7.3</v>
      </c>
      <c r="J245">
        <v>7</v>
      </c>
      <c r="K245" t="s">
        <v>23</v>
      </c>
      <c r="L245">
        <v>5</v>
      </c>
      <c r="M245" t="str">
        <f>IF(Table1[[#This Row],[Age]]&lt;=18,"Teen",IF(Table1[[#This Row],[Age]]&lt;=21,"Young Adult","Adult"))</f>
        <v>Adult</v>
      </c>
      <c r="N245" t="str">
        <f t="shared" si="15"/>
        <v>High</v>
      </c>
      <c r="O245" t="str">
        <f t="shared" si="16"/>
        <v>Medium</v>
      </c>
      <c r="P245" t="str">
        <f t="shared" si="17"/>
        <v>Healthy</v>
      </c>
      <c r="Q245">
        <f t="shared" si="18"/>
        <v>0</v>
      </c>
      <c r="R245" t="str">
        <f t="shared" si="19"/>
        <v>Good</v>
      </c>
      <c r="S245">
        <f>COUNTIF('Students Social Media Addiction'!O:O,"High")/COUNTA(Table1[Student_ID])</f>
        <v>0.5787234042553191</v>
      </c>
      <c r="T245">
        <f>AVERAGE(Table1[Academic Impact Flag])</f>
        <v>0.64255319148936174</v>
      </c>
      <c r="U245">
        <f>AVERAGE(Table1[Sleep_Hours_Per_Night])</f>
        <v>6.868936170212768</v>
      </c>
      <c r="V245">
        <f>AVERAGE(Table1[Mental_Health_Score])</f>
        <v>6.2269503546099294</v>
      </c>
    </row>
    <row r="246" spans="1:22" x14ac:dyDescent="0.3">
      <c r="A246">
        <v>245</v>
      </c>
      <c r="B246">
        <v>19</v>
      </c>
      <c r="C246" t="s">
        <v>12</v>
      </c>
      <c r="D246" t="s">
        <v>13</v>
      </c>
      <c r="E246" t="s">
        <v>24</v>
      </c>
      <c r="F246">
        <v>6.9</v>
      </c>
      <c r="G246" t="s">
        <v>25</v>
      </c>
      <c r="H246" t="s">
        <v>16</v>
      </c>
      <c r="I246">
        <v>5.7</v>
      </c>
      <c r="J246">
        <v>4</v>
      </c>
      <c r="K246" t="s">
        <v>17</v>
      </c>
      <c r="L246">
        <v>9</v>
      </c>
      <c r="M246" t="str">
        <f>IF(Table1[[#This Row],[Age]]&lt;=18,"Teen",IF(Table1[[#This Row],[Age]]&lt;=21,"Young Adult","Adult"))</f>
        <v>Young Adult</v>
      </c>
      <c r="N246" t="str">
        <f t="shared" si="15"/>
        <v>Very High</v>
      </c>
      <c r="O246" t="str">
        <f t="shared" si="16"/>
        <v>High</v>
      </c>
      <c r="P246" t="str">
        <f t="shared" si="17"/>
        <v>Poor</v>
      </c>
      <c r="Q246">
        <f t="shared" si="18"/>
        <v>1</v>
      </c>
      <c r="R246" t="str">
        <f t="shared" si="19"/>
        <v>Poor</v>
      </c>
      <c r="S246">
        <f>COUNTIF('Students Social Media Addiction'!O:O,"High")/COUNTA(Table1[Student_ID])</f>
        <v>0.5787234042553191</v>
      </c>
      <c r="T246">
        <f>AVERAGE(Table1[Academic Impact Flag])</f>
        <v>0.64255319148936174</v>
      </c>
      <c r="U246">
        <f>AVERAGE(Table1[Sleep_Hours_Per_Night])</f>
        <v>6.868936170212768</v>
      </c>
      <c r="V246">
        <f>AVERAGE(Table1[Mental_Health_Score])</f>
        <v>6.2269503546099294</v>
      </c>
    </row>
    <row r="247" spans="1:22" x14ac:dyDescent="0.3">
      <c r="A247">
        <v>246</v>
      </c>
      <c r="B247">
        <v>21</v>
      </c>
      <c r="C247" t="s">
        <v>18</v>
      </c>
      <c r="D247" t="s">
        <v>19</v>
      </c>
      <c r="E247" t="s">
        <v>28</v>
      </c>
      <c r="F247">
        <v>5.7</v>
      </c>
      <c r="G247" t="s">
        <v>15</v>
      </c>
      <c r="H247" t="s">
        <v>16</v>
      </c>
      <c r="I247">
        <v>6.4</v>
      </c>
      <c r="J247">
        <v>6</v>
      </c>
      <c r="K247" t="s">
        <v>23</v>
      </c>
      <c r="L247">
        <v>7</v>
      </c>
      <c r="M247" t="str">
        <f>IF(Table1[[#This Row],[Age]]&lt;=18,"Teen",IF(Table1[[#This Row],[Age]]&lt;=21,"Young Adult","Adult"))</f>
        <v>Young Adult</v>
      </c>
      <c r="N247" t="str">
        <f t="shared" si="15"/>
        <v>High</v>
      </c>
      <c r="O247" t="str">
        <f t="shared" si="16"/>
        <v>High</v>
      </c>
      <c r="P247" t="str">
        <f t="shared" si="17"/>
        <v>Average</v>
      </c>
      <c r="Q247">
        <f t="shared" si="18"/>
        <v>1</v>
      </c>
      <c r="R247" t="str">
        <f t="shared" si="19"/>
        <v>Average</v>
      </c>
      <c r="S247">
        <f>COUNTIF('Students Social Media Addiction'!O:O,"High")/COUNTA(Table1[Student_ID])</f>
        <v>0.5787234042553191</v>
      </c>
      <c r="T247">
        <f>AVERAGE(Table1[Academic Impact Flag])</f>
        <v>0.64255319148936174</v>
      </c>
      <c r="U247">
        <f>AVERAGE(Table1[Sleep_Hours_Per_Night])</f>
        <v>6.868936170212768</v>
      </c>
      <c r="V247">
        <f>AVERAGE(Table1[Mental_Health_Score])</f>
        <v>6.2269503546099294</v>
      </c>
    </row>
    <row r="248" spans="1:22" x14ac:dyDescent="0.3">
      <c r="A248">
        <v>247</v>
      </c>
      <c r="B248">
        <v>20</v>
      </c>
      <c r="C248" t="s">
        <v>12</v>
      </c>
      <c r="D248" t="s">
        <v>13</v>
      </c>
      <c r="E248" t="s">
        <v>32</v>
      </c>
      <c r="F248">
        <v>4.8</v>
      </c>
      <c r="G248" t="s">
        <v>31</v>
      </c>
      <c r="H248" t="s">
        <v>22</v>
      </c>
      <c r="I248">
        <v>7.2</v>
      </c>
      <c r="J248">
        <v>7</v>
      </c>
      <c r="K248" t="s">
        <v>17</v>
      </c>
      <c r="L248">
        <v>5</v>
      </c>
      <c r="M248" t="str">
        <f>IF(Table1[[#This Row],[Age]]&lt;=18,"Teen",IF(Table1[[#This Row],[Age]]&lt;=21,"Young Adult","Adult"))</f>
        <v>Young Adult</v>
      </c>
      <c r="N248" t="str">
        <f t="shared" si="15"/>
        <v>High</v>
      </c>
      <c r="O248" t="str">
        <f t="shared" si="16"/>
        <v>Medium</v>
      </c>
      <c r="P248" t="str">
        <f t="shared" si="17"/>
        <v>Healthy</v>
      </c>
      <c r="Q248">
        <f t="shared" si="18"/>
        <v>0</v>
      </c>
      <c r="R248" t="str">
        <f t="shared" si="19"/>
        <v>Good</v>
      </c>
      <c r="S248">
        <f>COUNTIF('Students Social Media Addiction'!O:O,"High")/COUNTA(Table1[Student_ID])</f>
        <v>0.5787234042553191</v>
      </c>
      <c r="T248">
        <f>AVERAGE(Table1[Academic Impact Flag])</f>
        <v>0.64255319148936174</v>
      </c>
      <c r="U248">
        <f>AVERAGE(Table1[Sleep_Hours_Per_Night])</f>
        <v>6.868936170212768</v>
      </c>
      <c r="V248">
        <f>AVERAGE(Table1[Mental_Health_Score])</f>
        <v>6.2269503546099294</v>
      </c>
    </row>
    <row r="249" spans="1:22" x14ac:dyDescent="0.3">
      <c r="A249">
        <v>248</v>
      </c>
      <c r="B249">
        <v>22</v>
      </c>
      <c r="C249" t="s">
        <v>18</v>
      </c>
      <c r="D249" t="s">
        <v>19</v>
      </c>
      <c r="E249" t="s">
        <v>33</v>
      </c>
      <c r="F249">
        <v>3.9</v>
      </c>
      <c r="G249" t="s">
        <v>15</v>
      </c>
      <c r="H249" t="s">
        <v>22</v>
      </c>
      <c r="I249">
        <v>7.8</v>
      </c>
      <c r="J249">
        <v>8</v>
      </c>
      <c r="K249" t="s">
        <v>23</v>
      </c>
      <c r="L249">
        <v>4</v>
      </c>
      <c r="M249" t="str">
        <f>IF(Table1[[#This Row],[Age]]&lt;=18,"Teen",IF(Table1[[#This Row],[Age]]&lt;=21,"Young Adult","Adult"))</f>
        <v>Adult</v>
      </c>
      <c r="N249" t="str">
        <f t="shared" si="15"/>
        <v>Moderate</v>
      </c>
      <c r="O249" t="str">
        <f t="shared" si="16"/>
        <v>Medium</v>
      </c>
      <c r="P249" t="str">
        <f t="shared" si="17"/>
        <v>Healthy</v>
      </c>
      <c r="Q249">
        <f t="shared" si="18"/>
        <v>0</v>
      </c>
      <c r="R249" t="str">
        <f t="shared" si="19"/>
        <v>Good</v>
      </c>
      <c r="S249">
        <f>COUNTIF('Students Social Media Addiction'!O:O,"High")/COUNTA(Table1[Student_ID])</f>
        <v>0.5787234042553191</v>
      </c>
      <c r="T249">
        <f>AVERAGE(Table1[Academic Impact Flag])</f>
        <v>0.64255319148936174</v>
      </c>
      <c r="U249">
        <f>AVERAGE(Table1[Sleep_Hours_Per_Night])</f>
        <v>6.868936170212768</v>
      </c>
      <c r="V249">
        <f>AVERAGE(Table1[Mental_Health_Score])</f>
        <v>6.2269503546099294</v>
      </c>
    </row>
    <row r="250" spans="1:22" x14ac:dyDescent="0.3">
      <c r="A250">
        <v>249</v>
      </c>
      <c r="B250">
        <v>19</v>
      </c>
      <c r="C250" t="s">
        <v>12</v>
      </c>
      <c r="D250" t="s">
        <v>13</v>
      </c>
      <c r="E250" t="s">
        <v>37</v>
      </c>
      <c r="F250">
        <v>3.6</v>
      </c>
      <c r="G250" t="s">
        <v>139</v>
      </c>
      <c r="H250" t="s">
        <v>22</v>
      </c>
      <c r="I250">
        <v>8.1</v>
      </c>
      <c r="J250">
        <v>8</v>
      </c>
      <c r="K250" t="s">
        <v>23</v>
      </c>
      <c r="L250">
        <v>3</v>
      </c>
      <c r="M250" t="str">
        <f>IF(Table1[[#This Row],[Age]]&lt;=18,"Teen",IF(Table1[[#This Row],[Age]]&lt;=21,"Young Adult","Adult"))</f>
        <v>Young Adult</v>
      </c>
      <c r="N250" t="str">
        <f t="shared" si="15"/>
        <v>Moderate</v>
      </c>
      <c r="O250" t="str">
        <f t="shared" si="16"/>
        <v>Low</v>
      </c>
      <c r="P250" t="str">
        <f t="shared" si="17"/>
        <v>Healthy</v>
      </c>
      <c r="Q250">
        <f t="shared" si="18"/>
        <v>0</v>
      </c>
      <c r="R250" t="str">
        <f t="shared" si="19"/>
        <v>Good</v>
      </c>
      <c r="S250">
        <f>COUNTIF('Students Social Media Addiction'!O:O,"High")/COUNTA(Table1[Student_ID])</f>
        <v>0.5787234042553191</v>
      </c>
      <c r="T250">
        <f>AVERAGE(Table1[Academic Impact Flag])</f>
        <v>0.64255319148936174</v>
      </c>
      <c r="U250">
        <f>AVERAGE(Table1[Sleep_Hours_Per_Night])</f>
        <v>6.868936170212768</v>
      </c>
      <c r="V250">
        <f>AVERAGE(Table1[Mental_Health_Score])</f>
        <v>6.2269503546099294</v>
      </c>
    </row>
    <row r="251" spans="1:22" x14ac:dyDescent="0.3">
      <c r="A251">
        <v>250</v>
      </c>
      <c r="B251">
        <v>21</v>
      </c>
      <c r="C251" t="s">
        <v>18</v>
      </c>
      <c r="D251" t="s">
        <v>19</v>
      </c>
      <c r="E251" t="s">
        <v>41</v>
      </c>
      <c r="F251">
        <v>5.6</v>
      </c>
      <c r="G251" t="s">
        <v>25</v>
      </c>
      <c r="H251" t="s">
        <v>16</v>
      </c>
      <c r="I251">
        <v>6.6</v>
      </c>
      <c r="J251">
        <v>5</v>
      </c>
      <c r="K251" t="s">
        <v>17</v>
      </c>
      <c r="L251">
        <v>8</v>
      </c>
      <c r="M251" t="str">
        <f>IF(Table1[[#This Row],[Age]]&lt;=18,"Teen",IF(Table1[[#This Row],[Age]]&lt;=21,"Young Adult","Adult"))</f>
        <v>Young Adult</v>
      </c>
      <c r="N251" t="str">
        <f t="shared" si="15"/>
        <v>High</v>
      </c>
      <c r="O251" t="str">
        <f t="shared" si="16"/>
        <v>High</v>
      </c>
      <c r="P251" t="str">
        <f t="shared" si="17"/>
        <v>Average</v>
      </c>
      <c r="Q251">
        <f t="shared" si="18"/>
        <v>1</v>
      </c>
      <c r="R251" t="str">
        <f t="shared" si="19"/>
        <v>Average</v>
      </c>
      <c r="S251">
        <f>COUNTIF('Students Social Media Addiction'!O:O,"High")/COUNTA(Table1[Student_ID])</f>
        <v>0.5787234042553191</v>
      </c>
      <c r="T251">
        <f>AVERAGE(Table1[Academic Impact Flag])</f>
        <v>0.64255319148936174</v>
      </c>
      <c r="U251">
        <f>AVERAGE(Table1[Sleep_Hours_Per_Night])</f>
        <v>6.868936170212768</v>
      </c>
      <c r="V251">
        <f>AVERAGE(Table1[Mental_Health_Score])</f>
        <v>6.2269503546099294</v>
      </c>
    </row>
    <row r="252" spans="1:22" x14ac:dyDescent="0.3">
      <c r="A252">
        <v>251</v>
      </c>
      <c r="B252">
        <v>20</v>
      </c>
      <c r="C252" t="s">
        <v>12</v>
      </c>
      <c r="D252" t="s">
        <v>13</v>
      </c>
      <c r="E252" t="s">
        <v>38</v>
      </c>
      <c r="F252">
        <v>4.9000000000000004</v>
      </c>
      <c r="G252" t="s">
        <v>140</v>
      </c>
      <c r="H252" t="s">
        <v>16</v>
      </c>
      <c r="I252">
        <v>6.9</v>
      </c>
      <c r="J252">
        <v>6</v>
      </c>
      <c r="K252" t="s">
        <v>23</v>
      </c>
      <c r="L252">
        <v>6</v>
      </c>
      <c r="M252" t="str">
        <f>IF(Table1[[#This Row],[Age]]&lt;=18,"Teen",IF(Table1[[#This Row],[Age]]&lt;=21,"Young Adult","Adult"))</f>
        <v>Young Adult</v>
      </c>
      <c r="N252" t="str">
        <f t="shared" si="15"/>
        <v>High</v>
      </c>
      <c r="O252" t="str">
        <f t="shared" si="16"/>
        <v>Medium</v>
      </c>
      <c r="P252" t="str">
        <f t="shared" si="17"/>
        <v>Average</v>
      </c>
      <c r="Q252">
        <f t="shared" si="18"/>
        <v>1</v>
      </c>
      <c r="R252" t="str">
        <f t="shared" si="19"/>
        <v>Average</v>
      </c>
      <c r="S252">
        <f>COUNTIF('Students Social Media Addiction'!O:O,"High")/COUNTA(Table1[Student_ID])</f>
        <v>0.5787234042553191</v>
      </c>
      <c r="T252">
        <f>AVERAGE(Table1[Academic Impact Flag])</f>
        <v>0.64255319148936174</v>
      </c>
      <c r="U252">
        <f>AVERAGE(Table1[Sleep_Hours_Per_Night])</f>
        <v>6.868936170212768</v>
      </c>
      <c r="V252">
        <f>AVERAGE(Table1[Mental_Health_Score])</f>
        <v>6.2269503546099294</v>
      </c>
    </row>
    <row r="253" spans="1:22" x14ac:dyDescent="0.3">
      <c r="A253">
        <v>252</v>
      </c>
      <c r="B253">
        <v>22</v>
      </c>
      <c r="C253" t="s">
        <v>18</v>
      </c>
      <c r="D253" t="s">
        <v>19</v>
      </c>
      <c r="E253" t="s">
        <v>43</v>
      </c>
      <c r="F253">
        <v>4.5999999999999996</v>
      </c>
      <c r="G253" t="s">
        <v>141</v>
      </c>
      <c r="H253" t="s">
        <v>22</v>
      </c>
      <c r="I253">
        <v>7.5</v>
      </c>
      <c r="J253">
        <v>7</v>
      </c>
      <c r="K253" t="s">
        <v>17</v>
      </c>
      <c r="L253">
        <v>5</v>
      </c>
      <c r="M253" t="str">
        <f>IF(Table1[[#This Row],[Age]]&lt;=18,"Teen",IF(Table1[[#This Row],[Age]]&lt;=21,"Young Adult","Adult"))</f>
        <v>Adult</v>
      </c>
      <c r="N253" t="str">
        <f t="shared" si="15"/>
        <v>High</v>
      </c>
      <c r="O253" t="str">
        <f t="shared" si="16"/>
        <v>Medium</v>
      </c>
      <c r="P253" t="str">
        <f t="shared" si="17"/>
        <v>Healthy</v>
      </c>
      <c r="Q253">
        <f t="shared" si="18"/>
        <v>0</v>
      </c>
      <c r="R253" t="str">
        <f t="shared" si="19"/>
        <v>Good</v>
      </c>
      <c r="S253">
        <f>COUNTIF('Students Social Media Addiction'!O:O,"High")/COUNTA(Table1[Student_ID])</f>
        <v>0.5787234042553191</v>
      </c>
      <c r="T253">
        <f>AVERAGE(Table1[Academic Impact Flag])</f>
        <v>0.64255319148936174</v>
      </c>
      <c r="U253">
        <f>AVERAGE(Table1[Sleep_Hours_Per_Night])</f>
        <v>6.868936170212768</v>
      </c>
      <c r="V253">
        <f>AVERAGE(Table1[Mental_Health_Score])</f>
        <v>6.2269503546099294</v>
      </c>
    </row>
    <row r="254" spans="1:22" x14ac:dyDescent="0.3">
      <c r="A254">
        <v>253</v>
      </c>
      <c r="B254">
        <v>19</v>
      </c>
      <c r="C254" t="s">
        <v>12</v>
      </c>
      <c r="D254" t="s">
        <v>13</v>
      </c>
      <c r="E254" t="s">
        <v>24</v>
      </c>
      <c r="F254">
        <v>6.7</v>
      </c>
      <c r="G254" t="s">
        <v>15</v>
      </c>
      <c r="H254" t="s">
        <v>16</v>
      </c>
      <c r="I254">
        <v>5.8</v>
      </c>
      <c r="J254">
        <v>4</v>
      </c>
      <c r="K254" t="s">
        <v>23</v>
      </c>
      <c r="L254">
        <v>9</v>
      </c>
      <c r="M254" t="str">
        <f>IF(Table1[[#This Row],[Age]]&lt;=18,"Teen",IF(Table1[[#This Row],[Age]]&lt;=21,"Young Adult","Adult"))</f>
        <v>Young Adult</v>
      </c>
      <c r="N254" t="str">
        <f t="shared" si="15"/>
        <v>Very High</v>
      </c>
      <c r="O254" t="str">
        <f t="shared" si="16"/>
        <v>High</v>
      </c>
      <c r="P254" t="str">
        <f t="shared" si="17"/>
        <v>Poor</v>
      </c>
      <c r="Q254">
        <f t="shared" si="18"/>
        <v>1</v>
      </c>
      <c r="R254" t="str">
        <f t="shared" si="19"/>
        <v>Poor</v>
      </c>
      <c r="S254">
        <f>COUNTIF('Students Social Media Addiction'!O:O,"High")/COUNTA(Table1[Student_ID])</f>
        <v>0.5787234042553191</v>
      </c>
      <c r="T254">
        <f>AVERAGE(Table1[Academic Impact Flag])</f>
        <v>0.64255319148936174</v>
      </c>
      <c r="U254">
        <f>AVERAGE(Table1[Sleep_Hours_Per_Night])</f>
        <v>6.868936170212768</v>
      </c>
      <c r="V254">
        <f>AVERAGE(Table1[Mental_Health_Score])</f>
        <v>6.2269503546099294</v>
      </c>
    </row>
    <row r="255" spans="1:22" x14ac:dyDescent="0.3">
      <c r="A255">
        <v>254</v>
      </c>
      <c r="B255">
        <v>21</v>
      </c>
      <c r="C255" t="s">
        <v>18</v>
      </c>
      <c r="D255" t="s">
        <v>19</v>
      </c>
      <c r="E255" t="s">
        <v>28</v>
      </c>
      <c r="F255">
        <v>5.4</v>
      </c>
      <c r="G255" t="s">
        <v>31</v>
      </c>
      <c r="H255" t="s">
        <v>16</v>
      </c>
      <c r="I255">
        <v>6.5</v>
      </c>
      <c r="J255">
        <v>6</v>
      </c>
      <c r="K255" t="s">
        <v>17</v>
      </c>
      <c r="L255">
        <v>7</v>
      </c>
      <c r="M255" t="str">
        <f>IF(Table1[[#This Row],[Age]]&lt;=18,"Teen",IF(Table1[[#This Row],[Age]]&lt;=21,"Young Adult","Adult"))</f>
        <v>Young Adult</v>
      </c>
      <c r="N255" t="str">
        <f t="shared" si="15"/>
        <v>High</v>
      </c>
      <c r="O255" t="str">
        <f t="shared" si="16"/>
        <v>High</v>
      </c>
      <c r="P255" t="str">
        <f t="shared" si="17"/>
        <v>Average</v>
      </c>
      <c r="Q255">
        <f t="shared" si="18"/>
        <v>1</v>
      </c>
      <c r="R255" t="str">
        <f t="shared" si="19"/>
        <v>Average</v>
      </c>
      <c r="S255">
        <f>COUNTIF('Students Social Media Addiction'!O:O,"High")/COUNTA(Table1[Student_ID])</f>
        <v>0.5787234042553191</v>
      </c>
      <c r="T255">
        <f>AVERAGE(Table1[Academic Impact Flag])</f>
        <v>0.64255319148936174</v>
      </c>
      <c r="U255">
        <f>AVERAGE(Table1[Sleep_Hours_Per_Night])</f>
        <v>6.868936170212768</v>
      </c>
      <c r="V255">
        <f>AVERAGE(Table1[Mental_Health_Score])</f>
        <v>6.2269503546099294</v>
      </c>
    </row>
    <row r="256" spans="1:22" x14ac:dyDescent="0.3">
      <c r="A256">
        <v>255</v>
      </c>
      <c r="B256">
        <v>20</v>
      </c>
      <c r="C256" t="s">
        <v>12</v>
      </c>
      <c r="D256" t="s">
        <v>13</v>
      </c>
      <c r="E256" t="s">
        <v>32</v>
      </c>
      <c r="F256">
        <v>4.4000000000000004</v>
      </c>
      <c r="G256" t="s">
        <v>15</v>
      </c>
      <c r="H256" t="s">
        <v>22</v>
      </c>
      <c r="I256">
        <v>7.4</v>
      </c>
      <c r="J256">
        <v>7</v>
      </c>
      <c r="K256" t="s">
        <v>23</v>
      </c>
      <c r="L256">
        <v>5</v>
      </c>
      <c r="M256" t="str">
        <f>IF(Table1[[#This Row],[Age]]&lt;=18,"Teen",IF(Table1[[#This Row],[Age]]&lt;=21,"Young Adult","Adult"))</f>
        <v>Young Adult</v>
      </c>
      <c r="N256" t="str">
        <f t="shared" si="15"/>
        <v>High</v>
      </c>
      <c r="O256" t="str">
        <f t="shared" si="16"/>
        <v>Medium</v>
      </c>
      <c r="P256" t="str">
        <f t="shared" si="17"/>
        <v>Healthy</v>
      </c>
      <c r="Q256">
        <f t="shared" si="18"/>
        <v>0</v>
      </c>
      <c r="R256" t="str">
        <f t="shared" si="19"/>
        <v>Good</v>
      </c>
      <c r="S256">
        <f>COUNTIF('Students Social Media Addiction'!O:O,"High")/COUNTA(Table1[Student_ID])</f>
        <v>0.5787234042553191</v>
      </c>
      <c r="T256">
        <f>AVERAGE(Table1[Academic Impact Flag])</f>
        <v>0.64255319148936174</v>
      </c>
      <c r="U256">
        <f>AVERAGE(Table1[Sleep_Hours_Per_Night])</f>
        <v>6.868936170212768</v>
      </c>
      <c r="V256">
        <f>AVERAGE(Table1[Mental_Health_Score])</f>
        <v>6.2269503546099294</v>
      </c>
    </row>
    <row r="257" spans="1:22" x14ac:dyDescent="0.3">
      <c r="A257">
        <v>256</v>
      </c>
      <c r="B257">
        <v>22</v>
      </c>
      <c r="C257" t="s">
        <v>18</v>
      </c>
      <c r="D257" t="s">
        <v>19</v>
      </c>
      <c r="E257" t="s">
        <v>33</v>
      </c>
      <c r="F257">
        <v>4</v>
      </c>
      <c r="G257" t="s">
        <v>31</v>
      </c>
      <c r="H257" t="s">
        <v>22</v>
      </c>
      <c r="I257">
        <v>7.6</v>
      </c>
      <c r="J257">
        <v>8</v>
      </c>
      <c r="K257" t="s">
        <v>17</v>
      </c>
      <c r="L257">
        <v>4</v>
      </c>
      <c r="M257" t="str">
        <f>IF(Table1[[#This Row],[Age]]&lt;=18,"Teen",IF(Table1[[#This Row],[Age]]&lt;=21,"Young Adult","Adult"))</f>
        <v>Adult</v>
      </c>
      <c r="N257" t="str">
        <f t="shared" si="15"/>
        <v>High</v>
      </c>
      <c r="O257" t="str">
        <f t="shared" si="16"/>
        <v>Medium</v>
      </c>
      <c r="P257" t="str">
        <f t="shared" si="17"/>
        <v>Healthy</v>
      </c>
      <c r="Q257">
        <f t="shared" si="18"/>
        <v>0</v>
      </c>
      <c r="R257" t="str">
        <f t="shared" si="19"/>
        <v>Good</v>
      </c>
      <c r="S257">
        <f>COUNTIF('Students Social Media Addiction'!O:O,"High")/COUNTA(Table1[Student_ID])</f>
        <v>0.5787234042553191</v>
      </c>
      <c r="T257">
        <f>AVERAGE(Table1[Academic Impact Flag])</f>
        <v>0.64255319148936174</v>
      </c>
      <c r="U257">
        <f>AVERAGE(Table1[Sleep_Hours_Per_Night])</f>
        <v>6.868936170212768</v>
      </c>
      <c r="V257">
        <f>AVERAGE(Table1[Mental_Health_Score])</f>
        <v>6.2269503546099294</v>
      </c>
    </row>
    <row r="258" spans="1:22" x14ac:dyDescent="0.3">
      <c r="A258">
        <v>257</v>
      </c>
      <c r="B258">
        <v>19</v>
      </c>
      <c r="C258" t="s">
        <v>12</v>
      </c>
      <c r="D258" t="s">
        <v>13</v>
      </c>
      <c r="E258" t="s">
        <v>37</v>
      </c>
      <c r="F258">
        <v>3.4</v>
      </c>
      <c r="G258" t="s">
        <v>139</v>
      </c>
      <c r="H258" t="s">
        <v>22</v>
      </c>
      <c r="I258">
        <v>8.1999999999999993</v>
      </c>
      <c r="J258">
        <v>8</v>
      </c>
      <c r="K258" t="s">
        <v>23</v>
      </c>
      <c r="L258">
        <v>3</v>
      </c>
      <c r="M258" t="str">
        <f>IF(Table1[[#This Row],[Age]]&lt;=18,"Teen",IF(Table1[[#This Row],[Age]]&lt;=21,"Young Adult","Adult"))</f>
        <v>Young Adult</v>
      </c>
      <c r="N258" t="str">
        <f t="shared" ref="N258:N321" si="20">IF(F258&lt;2,"Low",
IF(F258&lt;4,"Moderate",
IF(F258&lt;6,"High","Very High")))</f>
        <v>Moderate</v>
      </c>
      <c r="O258" t="str">
        <f t="shared" ref="O258:O321" si="21">IF(L258&lt;=3,"Low",
IF(L258&lt;=6,"Medium","High"))</f>
        <v>Low</v>
      </c>
      <c r="P258" t="str">
        <f t="shared" ref="P258:P321" si="22">IF(I258&lt;6,"Poor",
IF(I258&lt;=7,"Average","Healthy"))</f>
        <v>Healthy</v>
      </c>
      <c r="Q258">
        <f t="shared" ref="Q258:Q321" si="23">IF(H258="Yes",1,0)</f>
        <v>0</v>
      </c>
      <c r="R258" t="str">
        <f t="shared" ref="R258:R321" si="24">IF(J258&lt;=4,"Poor",
IF(J258&lt;=6,"Average","Good"))</f>
        <v>Good</v>
      </c>
      <c r="S258">
        <f>COUNTIF('Students Social Media Addiction'!O:O,"High")/COUNTA(Table1[Student_ID])</f>
        <v>0.5787234042553191</v>
      </c>
      <c r="T258">
        <f>AVERAGE(Table1[Academic Impact Flag])</f>
        <v>0.64255319148936174</v>
      </c>
      <c r="U258">
        <f>AVERAGE(Table1[Sleep_Hours_Per_Night])</f>
        <v>6.868936170212768</v>
      </c>
      <c r="V258">
        <f>AVERAGE(Table1[Mental_Health_Score])</f>
        <v>6.2269503546099294</v>
      </c>
    </row>
    <row r="259" spans="1:22" x14ac:dyDescent="0.3">
      <c r="A259">
        <v>258</v>
      </c>
      <c r="B259">
        <v>21</v>
      </c>
      <c r="C259" t="s">
        <v>18</v>
      </c>
      <c r="D259" t="s">
        <v>19</v>
      </c>
      <c r="E259" t="s">
        <v>41</v>
      </c>
      <c r="F259">
        <v>5.3</v>
      </c>
      <c r="G259" t="s">
        <v>15</v>
      </c>
      <c r="H259" t="s">
        <v>16</v>
      </c>
      <c r="I259">
        <v>6.8</v>
      </c>
      <c r="J259">
        <v>5</v>
      </c>
      <c r="K259" t="s">
        <v>23</v>
      </c>
      <c r="L259">
        <v>7</v>
      </c>
      <c r="M259" t="str">
        <f>IF(Table1[[#This Row],[Age]]&lt;=18,"Teen",IF(Table1[[#This Row],[Age]]&lt;=21,"Young Adult","Adult"))</f>
        <v>Young Adult</v>
      </c>
      <c r="N259" t="str">
        <f t="shared" si="20"/>
        <v>High</v>
      </c>
      <c r="O259" t="str">
        <f t="shared" si="21"/>
        <v>High</v>
      </c>
      <c r="P259" t="str">
        <f t="shared" si="22"/>
        <v>Average</v>
      </c>
      <c r="Q259">
        <f t="shared" si="23"/>
        <v>1</v>
      </c>
      <c r="R259" t="str">
        <f t="shared" si="24"/>
        <v>Average</v>
      </c>
      <c r="S259">
        <f>COUNTIF('Students Social Media Addiction'!O:O,"High")/COUNTA(Table1[Student_ID])</f>
        <v>0.5787234042553191</v>
      </c>
      <c r="T259">
        <f>AVERAGE(Table1[Academic Impact Flag])</f>
        <v>0.64255319148936174</v>
      </c>
      <c r="U259">
        <f>AVERAGE(Table1[Sleep_Hours_Per_Night])</f>
        <v>6.868936170212768</v>
      </c>
      <c r="V259">
        <f>AVERAGE(Table1[Mental_Health_Score])</f>
        <v>6.2269503546099294</v>
      </c>
    </row>
    <row r="260" spans="1:22" x14ac:dyDescent="0.3">
      <c r="A260">
        <v>259</v>
      </c>
      <c r="B260">
        <v>20</v>
      </c>
      <c r="C260" t="s">
        <v>12</v>
      </c>
      <c r="D260" t="s">
        <v>13</v>
      </c>
      <c r="E260" t="s">
        <v>38</v>
      </c>
      <c r="F260">
        <v>5</v>
      </c>
      <c r="G260" t="s">
        <v>140</v>
      </c>
      <c r="H260" t="s">
        <v>16</v>
      </c>
      <c r="I260">
        <v>6.7</v>
      </c>
      <c r="J260">
        <v>6</v>
      </c>
      <c r="K260" t="s">
        <v>17</v>
      </c>
      <c r="L260">
        <v>6</v>
      </c>
      <c r="M260" t="str">
        <f>IF(Table1[[#This Row],[Age]]&lt;=18,"Teen",IF(Table1[[#This Row],[Age]]&lt;=21,"Young Adult","Adult"))</f>
        <v>Young Adult</v>
      </c>
      <c r="N260" t="str">
        <f t="shared" si="20"/>
        <v>High</v>
      </c>
      <c r="O260" t="str">
        <f t="shared" si="21"/>
        <v>Medium</v>
      </c>
      <c r="P260" t="str">
        <f t="shared" si="22"/>
        <v>Average</v>
      </c>
      <c r="Q260">
        <f t="shared" si="23"/>
        <v>1</v>
      </c>
      <c r="R260" t="str">
        <f t="shared" si="24"/>
        <v>Average</v>
      </c>
      <c r="S260">
        <f>COUNTIF('Students Social Media Addiction'!O:O,"High")/COUNTA(Table1[Student_ID])</f>
        <v>0.5787234042553191</v>
      </c>
      <c r="T260">
        <f>AVERAGE(Table1[Academic Impact Flag])</f>
        <v>0.64255319148936174</v>
      </c>
      <c r="U260">
        <f>AVERAGE(Table1[Sleep_Hours_Per_Night])</f>
        <v>6.868936170212768</v>
      </c>
      <c r="V260">
        <f>AVERAGE(Table1[Mental_Health_Score])</f>
        <v>6.2269503546099294</v>
      </c>
    </row>
    <row r="261" spans="1:22" x14ac:dyDescent="0.3">
      <c r="A261">
        <v>260</v>
      </c>
      <c r="B261">
        <v>22</v>
      </c>
      <c r="C261" t="s">
        <v>18</v>
      </c>
      <c r="D261" t="s">
        <v>19</v>
      </c>
      <c r="E261" t="s">
        <v>43</v>
      </c>
      <c r="F261">
        <v>4.4000000000000004</v>
      </c>
      <c r="G261" t="s">
        <v>141</v>
      </c>
      <c r="H261" t="s">
        <v>22</v>
      </c>
      <c r="I261">
        <v>7.6</v>
      </c>
      <c r="J261">
        <v>7</v>
      </c>
      <c r="K261" t="s">
        <v>23</v>
      </c>
      <c r="L261">
        <v>5</v>
      </c>
      <c r="M261" t="str">
        <f>IF(Table1[[#This Row],[Age]]&lt;=18,"Teen",IF(Table1[[#This Row],[Age]]&lt;=21,"Young Adult","Adult"))</f>
        <v>Adult</v>
      </c>
      <c r="N261" t="str">
        <f t="shared" si="20"/>
        <v>High</v>
      </c>
      <c r="O261" t="str">
        <f t="shared" si="21"/>
        <v>Medium</v>
      </c>
      <c r="P261" t="str">
        <f t="shared" si="22"/>
        <v>Healthy</v>
      </c>
      <c r="Q261">
        <f t="shared" si="23"/>
        <v>0</v>
      </c>
      <c r="R261" t="str">
        <f t="shared" si="24"/>
        <v>Good</v>
      </c>
      <c r="S261">
        <f>COUNTIF('Students Social Media Addiction'!O:O,"High")/COUNTA(Table1[Student_ID])</f>
        <v>0.5787234042553191</v>
      </c>
      <c r="T261">
        <f>AVERAGE(Table1[Academic Impact Flag])</f>
        <v>0.64255319148936174</v>
      </c>
      <c r="U261">
        <f>AVERAGE(Table1[Sleep_Hours_Per_Night])</f>
        <v>6.868936170212768</v>
      </c>
      <c r="V261">
        <f>AVERAGE(Table1[Mental_Health_Score])</f>
        <v>6.2269503546099294</v>
      </c>
    </row>
    <row r="262" spans="1:22" x14ac:dyDescent="0.3">
      <c r="A262">
        <v>261</v>
      </c>
      <c r="B262">
        <v>19</v>
      </c>
      <c r="C262" t="s">
        <v>12</v>
      </c>
      <c r="D262" t="s">
        <v>13</v>
      </c>
      <c r="E262" t="s">
        <v>24</v>
      </c>
      <c r="F262">
        <v>6.6</v>
      </c>
      <c r="G262" t="s">
        <v>25</v>
      </c>
      <c r="H262" t="s">
        <v>16</v>
      </c>
      <c r="I262">
        <v>5.6</v>
      </c>
      <c r="J262">
        <v>4</v>
      </c>
      <c r="K262" t="s">
        <v>17</v>
      </c>
      <c r="L262">
        <v>9</v>
      </c>
      <c r="M262" t="str">
        <f>IF(Table1[[#This Row],[Age]]&lt;=18,"Teen",IF(Table1[[#This Row],[Age]]&lt;=21,"Young Adult","Adult"))</f>
        <v>Young Adult</v>
      </c>
      <c r="N262" t="str">
        <f t="shared" si="20"/>
        <v>Very High</v>
      </c>
      <c r="O262" t="str">
        <f t="shared" si="21"/>
        <v>High</v>
      </c>
      <c r="P262" t="str">
        <f t="shared" si="22"/>
        <v>Poor</v>
      </c>
      <c r="Q262">
        <f t="shared" si="23"/>
        <v>1</v>
      </c>
      <c r="R262" t="str">
        <f t="shared" si="24"/>
        <v>Poor</v>
      </c>
      <c r="S262">
        <f>COUNTIF('Students Social Media Addiction'!O:O,"High")/COUNTA(Table1[Student_ID])</f>
        <v>0.5787234042553191</v>
      </c>
      <c r="T262">
        <f>AVERAGE(Table1[Academic Impact Flag])</f>
        <v>0.64255319148936174</v>
      </c>
      <c r="U262">
        <f>AVERAGE(Table1[Sleep_Hours_Per_Night])</f>
        <v>6.868936170212768</v>
      </c>
      <c r="V262">
        <f>AVERAGE(Table1[Mental_Health_Score])</f>
        <v>6.2269503546099294</v>
      </c>
    </row>
    <row r="263" spans="1:22" x14ac:dyDescent="0.3">
      <c r="A263">
        <v>262</v>
      </c>
      <c r="B263">
        <v>21</v>
      </c>
      <c r="C263" t="s">
        <v>18</v>
      </c>
      <c r="D263" t="s">
        <v>19</v>
      </c>
      <c r="E263" t="s">
        <v>28</v>
      </c>
      <c r="F263">
        <v>5.3</v>
      </c>
      <c r="G263" t="s">
        <v>15</v>
      </c>
      <c r="H263" t="s">
        <v>16</v>
      </c>
      <c r="I263">
        <v>6.3</v>
      </c>
      <c r="J263">
        <v>6</v>
      </c>
      <c r="K263" t="s">
        <v>23</v>
      </c>
      <c r="L263">
        <v>7</v>
      </c>
      <c r="M263" t="str">
        <f>IF(Table1[[#This Row],[Age]]&lt;=18,"Teen",IF(Table1[[#This Row],[Age]]&lt;=21,"Young Adult","Adult"))</f>
        <v>Young Adult</v>
      </c>
      <c r="N263" t="str">
        <f t="shared" si="20"/>
        <v>High</v>
      </c>
      <c r="O263" t="str">
        <f t="shared" si="21"/>
        <v>High</v>
      </c>
      <c r="P263" t="str">
        <f t="shared" si="22"/>
        <v>Average</v>
      </c>
      <c r="Q263">
        <f t="shared" si="23"/>
        <v>1</v>
      </c>
      <c r="R263" t="str">
        <f t="shared" si="24"/>
        <v>Average</v>
      </c>
      <c r="S263">
        <f>COUNTIF('Students Social Media Addiction'!O:O,"High")/COUNTA(Table1[Student_ID])</f>
        <v>0.5787234042553191</v>
      </c>
      <c r="T263">
        <f>AVERAGE(Table1[Academic Impact Flag])</f>
        <v>0.64255319148936174</v>
      </c>
      <c r="U263">
        <f>AVERAGE(Table1[Sleep_Hours_Per_Night])</f>
        <v>6.868936170212768</v>
      </c>
      <c r="V263">
        <f>AVERAGE(Table1[Mental_Health_Score])</f>
        <v>6.2269503546099294</v>
      </c>
    </row>
    <row r="264" spans="1:22" x14ac:dyDescent="0.3">
      <c r="A264">
        <v>263</v>
      </c>
      <c r="B264">
        <v>20</v>
      </c>
      <c r="C264" t="s">
        <v>12</v>
      </c>
      <c r="D264" t="s">
        <v>13</v>
      </c>
      <c r="E264" t="s">
        <v>32</v>
      </c>
      <c r="F264">
        <v>4.3</v>
      </c>
      <c r="G264" t="s">
        <v>31</v>
      </c>
      <c r="H264" t="s">
        <v>22</v>
      </c>
      <c r="I264">
        <v>7.5</v>
      </c>
      <c r="J264">
        <v>7</v>
      </c>
      <c r="K264" t="s">
        <v>17</v>
      </c>
      <c r="L264">
        <v>5</v>
      </c>
      <c r="M264" t="str">
        <f>IF(Table1[[#This Row],[Age]]&lt;=18,"Teen",IF(Table1[[#This Row],[Age]]&lt;=21,"Young Adult","Adult"))</f>
        <v>Young Adult</v>
      </c>
      <c r="N264" t="str">
        <f t="shared" si="20"/>
        <v>High</v>
      </c>
      <c r="O264" t="str">
        <f t="shared" si="21"/>
        <v>Medium</v>
      </c>
      <c r="P264" t="str">
        <f t="shared" si="22"/>
        <v>Healthy</v>
      </c>
      <c r="Q264">
        <f t="shared" si="23"/>
        <v>0</v>
      </c>
      <c r="R264" t="str">
        <f t="shared" si="24"/>
        <v>Good</v>
      </c>
      <c r="S264">
        <f>COUNTIF('Students Social Media Addiction'!O:O,"High")/COUNTA(Table1[Student_ID])</f>
        <v>0.5787234042553191</v>
      </c>
      <c r="T264">
        <f>AVERAGE(Table1[Academic Impact Flag])</f>
        <v>0.64255319148936174</v>
      </c>
      <c r="U264">
        <f>AVERAGE(Table1[Sleep_Hours_Per_Night])</f>
        <v>6.868936170212768</v>
      </c>
      <c r="V264">
        <f>AVERAGE(Table1[Mental_Health_Score])</f>
        <v>6.2269503546099294</v>
      </c>
    </row>
    <row r="265" spans="1:22" x14ac:dyDescent="0.3">
      <c r="A265">
        <v>264</v>
      </c>
      <c r="B265">
        <v>22</v>
      </c>
      <c r="C265" t="s">
        <v>18</v>
      </c>
      <c r="D265" t="s">
        <v>19</v>
      </c>
      <c r="E265" t="s">
        <v>33</v>
      </c>
      <c r="F265">
        <v>3.8</v>
      </c>
      <c r="G265" t="s">
        <v>15</v>
      </c>
      <c r="H265" t="s">
        <v>22</v>
      </c>
      <c r="I265">
        <v>7.7</v>
      </c>
      <c r="J265">
        <v>8</v>
      </c>
      <c r="K265" t="s">
        <v>23</v>
      </c>
      <c r="L265">
        <v>4</v>
      </c>
      <c r="M265" t="str">
        <f>IF(Table1[[#This Row],[Age]]&lt;=18,"Teen",IF(Table1[[#This Row],[Age]]&lt;=21,"Young Adult","Adult"))</f>
        <v>Adult</v>
      </c>
      <c r="N265" t="str">
        <f t="shared" si="20"/>
        <v>Moderate</v>
      </c>
      <c r="O265" t="str">
        <f t="shared" si="21"/>
        <v>Medium</v>
      </c>
      <c r="P265" t="str">
        <f t="shared" si="22"/>
        <v>Healthy</v>
      </c>
      <c r="Q265">
        <f t="shared" si="23"/>
        <v>0</v>
      </c>
      <c r="R265" t="str">
        <f t="shared" si="24"/>
        <v>Good</v>
      </c>
      <c r="S265">
        <f>COUNTIF('Students Social Media Addiction'!O:O,"High")/COUNTA(Table1[Student_ID])</f>
        <v>0.5787234042553191</v>
      </c>
      <c r="T265">
        <f>AVERAGE(Table1[Academic Impact Flag])</f>
        <v>0.64255319148936174</v>
      </c>
      <c r="U265">
        <f>AVERAGE(Table1[Sleep_Hours_Per_Night])</f>
        <v>6.868936170212768</v>
      </c>
      <c r="V265">
        <f>AVERAGE(Table1[Mental_Health_Score])</f>
        <v>6.2269503546099294</v>
      </c>
    </row>
    <row r="266" spans="1:22" x14ac:dyDescent="0.3">
      <c r="A266">
        <v>265</v>
      </c>
      <c r="B266">
        <v>19</v>
      </c>
      <c r="C266" t="s">
        <v>12</v>
      </c>
      <c r="D266" t="s">
        <v>13</v>
      </c>
      <c r="E266" t="s">
        <v>37</v>
      </c>
      <c r="F266">
        <v>3.3</v>
      </c>
      <c r="G266" t="s">
        <v>139</v>
      </c>
      <c r="H266" t="s">
        <v>22</v>
      </c>
      <c r="I266">
        <v>8.3000000000000007</v>
      </c>
      <c r="J266">
        <v>8</v>
      </c>
      <c r="K266" t="s">
        <v>23</v>
      </c>
      <c r="L266">
        <v>3</v>
      </c>
      <c r="M266" t="str">
        <f>IF(Table1[[#This Row],[Age]]&lt;=18,"Teen",IF(Table1[[#This Row],[Age]]&lt;=21,"Young Adult","Adult"))</f>
        <v>Young Adult</v>
      </c>
      <c r="N266" t="str">
        <f t="shared" si="20"/>
        <v>Moderate</v>
      </c>
      <c r="O266" t="str">
        <f t="shared" si="21"/>
        <v>Low</v>
      </c>
      <c r="P266" t="str">
        <f t="shared" si="22"/>
        <v>Healthy</v>
      </c>
      <c r="Q266">
        <f t="shared" si="23"/>
        <v>0</v>
      </c>
      <c r="R266" t="str">
        <f t="shared" si="24"/>
        <v>Good</v>
      </c>
      <c r="S266">
        <f>COUNTIF('Students Social Media Addiction'!O:O,"High")/COUNTA(Table1[Student_ID])</f>
        <v>0.5787234042553191</v>
      </c>
      <c r="T266">
        <f>AVERAGE(Table1[Academic Impact Flag])</f>
        <v>0.64255319148936174</v>
      </c>
      <c r="U266">
        <f>AVERAGE(Table1[Sleep_Hours_Per_Night])</f>
        <v>6.868936170212768</v>
      </c>
      <c r="V266">
        <f>AVERAGE(Table1[Mental_Health_Score])</f>
        <v>6.2269503546099294</v>
      </c>
    </row>
    <row r="267" spans="1:22" x14ac:dyDescent="0.3">
      <c r="A267">
        <v>266</v>
      </c>
      <c r="B267">
        <v>21</v>
      </c>
      <c r="C267" t="s">
        <v>18</v>
      </c>
      <c r="D267" t="s">
        <v>19</v>
      </c>
      <c r="E267" t="s">
        <v>41</v>
      </c>
      <c r="F267">
        <v>5.2</v>
      </c>
      <c r="G267" t="s">
        <v>25</v>
      </c>
      <c r="H267" t="s">
        <v>16</v>
      </c>
      <c r="I267">
        <v>6.9</v>
      </c>
      <c r="J267">
        <v>5</v>
      </c>
      <c r="K267" t="s">
        <v>17</v>
      </c>
      <c r="L267">
        <v>8</v>
      </c>
      <c r="M267" t="str">
        <f>IF(Table1[[#This Row],[Age]]&lt;=18,"Teen",IF(Table1[[#This Row],[Age]]&lt;=21,"Young Adult","Adult"))</f>
        <v>Young Adult</v>
      </c>
      <c r="N267" t="str">
        <f t="shared" si="20"/>
        <v>High</v>
      </c>
      <c r="O267" t="str">
        <f t="shared" si="21"/>
        <v>High</v>
      </c>
      <c r="P267" t="str">
        <f t="shared" si="22"/>
        <v>Average</v>
      </c>
      <c r="Q267">
        <f t="shared" si="23"/>
        <v>1</v>
      </c>
      <c r="R267" t="str">
        <f t="shared" si="24"/>
        <v>Average</v>
      </c>
      <c r="S267">
        <f>COUNTIF('Students Social Media Addiction'!O:O,"High")/COUNTA(Table1[Student_ID])</f>
        <v>0.5787234042553191</v>
      </c>
      <c r="T267">
        <f>AVERAGE(Table1[Academic Impact Flag])</f>
        <v>0.64255319148936174</v>
      </c>
      <c r="U267">
        <f>AVERAGE(Table1[Sleep_Hours_Per_Night])</f>
        <v>6.868936170212768</v>
      </c>
      <c r="V267">
        <f>AVERAGE(Table1[Mental_Health_Score])</f>
        <v>6.2269503546099294</v>
      </c>
    </row>
    <row r="268" spans="1:22" x14ac:dyDescent="0.3">
      <c r="A268">
        <v>267</v>
      </c>
      <c r="B268">
        <v>20</v>
      </c>
      <c r="C268" t="s">
        <v>12</v>
      </c>
      <c r="D268" t="s">
        <v>13</v>
      </c>
      <c r="E268" t="s">
        <v>38</v>
      </c>
      <c r="F268">
        <v>4.8</v>
      </c>
      <c r="G268" t="s">
        <v>140</v>
      </c>
      <c r="H268" t="s">
        <v>16</v>
      </c>
      <c r="I268">
        <v>7</v>
      </c>
      <c r="J268">
        <v>6</v>
      </c>
      <c r="K268" t="s">
        <v>23</v>
      </c>
      <c r="L268">
        <v>6</v>
      </c>
      <c r="M268" t="str">
        <f>IF(Table1[[#This Row],[Age]]&lt;=18,"Teen",IF(Table1[[#This Row],[Age]]&lt;=21,"Young Adult","Adult"))</f>
        <v>Young Adult</v>
      </c>
      <c r="N268" t="str">
        <f t="shared" si="20"/>
        <v>High</v>
      </c>
      <c r="O268" t="str">
        <f t="shared" si="21"/>
        <v>Medium</v>
      </c>
      <c r="P268" t="str">
        <f t="shared" si="22"/>
        <v>Average</v>
      </c>
      <c r="Q268">
        <f t="shared" si="23"/>
        <v>1</v>
      </c>
      <c r="R268" t="str">
        <f t="shared" si="24"/>
        <v>Average</v>
      </c>
      <c r="S268">
        <f>COUNTIF('Students Social Media Addiction'!O:O,"High")/COUNTA(Table1[Student_ID])</f>
        <v>0.5787234042553191</v>
      </c>
      <c r="T268">
        <f>AVERAGE(Table1[Academic Impact Flag])</f>
        <v>0.64255319148936174</v>
      </c>
      <c r="U268">
        <f>AVERAGE(Table1[Sleep_Hours_Per_Night])</f>
        <v>6.868936170212768</v>
      </c>
      <c r="V268">
        <f>AVERAGE(Table1[Mental_Health_Score])</f>
        <v>6.2269503546099294</v>
      </c>
    </row>
    <row r="269" spans="1:22" x14ac:dyDescent="0.3">
      <c r="A269">
        <v>268</v>
      </c>
      <c r="B269">
        <v>22</v>
      </c>
      <c r="C269" t="s">
        <v>18</v>
      </c>
      <c r="D269" t="s">
        <v>19</v>
      </c>
      <c r="E269" t="s">
        <v>43</v>
      </c>
      <c r="F269">
        <v>4.3</v>
      </c>
      <c r="G269" t="s">
        <v>141</v>
      </c>
      <c r="H269" t="s">
        <v>22</v>
      </c>
      <c r="I269">
        <v>7.7</v>
      </c>
      <c r="J269">
        <v>7</v>
      </c>
      <c r="K269" t="s">
        <v>17</v>
      </c>
      <c r="L269">
        <v>5</v>
      </c>
      <c r="M269" t="str">
        <f>IF(Table1[[#This Row],[Age]]&lt;=18,"Teen",IF(Table1[[#This Row],[Age]]&lt;=21,"Young Adult","Adult"))</f>
        <v>Adult</v>
      </c>
      <c r="N269" t="str">
        <f t="shared" si="20"/>
        <v>High</v>
      </c>
      <c r="O269" t="str">
        <f t="shared" si="21"/>
        <v>Medium</v>
      </c>
      <c r="P269" t="str">
        <f t="shared" si="22"/>
        <v>Healthy</v>
      </c>
      <c r="Q269">
        <f t="shared" si="23"/>
        <v>0</v>
      </c>
      <c r="R269" t="str">
        <f t="shared" si="24"/>
        <v>Good</v>
      </c>
      <c r="S269">
        <f>COUNTIF('Students Social Media Addiction'!O:O,"High")/COUNTA(Table1[Student_ID])</f>
        <v>0.5787234042553191</v>
      </c>
      <c r="T269">
        <f>AVERAGE(Table1[Academic Impact Flag])</f>
        <v>0.64255319148936174</v>
      </c>
      <c r="U269">
        <f>AVERAGE(Table1[Sleep_Hours_Per_Night])</f>
        <v>6.868936170212768</v>
      </c>
      <c r="V269">
        <f>AVERAGE(Table1[Mental_Health_Score])</f>
        <v>6.2269503546099294</v>
      </c>
    </row>
    <row r="270" spans="1:22" x14ac:dyDescent="0.3">
      <c r="A270">
        <v>269</v>
      </c>
      <c r="B270">
        <v>19</v>
      </c>
      <c r="C270" t="s">
        <v>12</v>
      </c>
      <c r="D270" t="s">
        <v>13</v>
      </c>
      <c r="E270" t="s">
        <v>24</v>
      </c>
      <c r="F270">
        <v>6.4</v>
      </c>
      <c r="G270" t="s">
        <v>15</v>
      </c>
      <c r="H270" t="s">
        <v>16</v>
      </c>
      <c r="I270">
        <v>5.7</v>
      </c>
      <c r="J270">
        <v>4</v>
      </c>
      <c r="K270" t="s">
        <v>23</v>
      </c>
      <c r="L270">
        <v>9</v>
      </c>
      <c r="M270" t="str">
        <f>IF(Table1[[#This Row],[Age]]&lt;=18,"Teen",IF(Table1[[#This Row],[Age]]&lt;=21,"Young Adult","Adult"))</f>
        <v>Young Adult</v>
      </c>
      <c r="N270" t="str">
        <f t="shared" si="20"/>
        <v>Very High</v>
      </c>
      <c r="O270" t="str">
        <f t="shared" si="21"/>
        <v>High</v>
      </c>
      <c r="P270" t="str">
        <f t="shared" si="22"/>
        <v>Poor</v>
      </c>
      <c r="Q270">
        <f t="shared" si="23"/>
        <v>1</v>
      </c>
      <c r="R270" t="str">
        <f t="shared" si="24"/>
        <v>Poor</v>
      </c>
      <c r="S270">
        <f>COUNTIF('Students Social Media Addiction'!O:O,"High")/COUNTA(Table1[Student_ID])</f>
        <v>0.5787234042553191</v>
      </c>
      <c r="T270">
        <f>AVERAGE(Table1[Academic Impact Flag])</f>
        <v>0.64255319148936174</v>
      </c>
      <c r="U270">
        <f>AVERAGE(Table1[Sleep_Hours_Per_Night])</f>
        <v>6.868936170212768</v>
      </c>
      <c r="V270">
        <f>AVERAGE(Table1[Mental_Health_Score])</f>
        <v>6.2269503546099294</v>
      </c>
    </row>
    <row r="271" spans="1:22" x14ac:dyDescent="0.3">
      <c r="A271">
        <v>270</v>
      </c>
      <c r="B271">
        <v>21</v>
      </c>
      <c r="C271" t="s">
        <v>18</v>
      </c>
      <c r="D271" t="s">
        <v>19</v>
      </c>
      <c r="E271" t="s">
        <v>28</v>
      </c>
      <c r="F271">
        <v>5.2</v>
      </c>
      <c r="G271" t="s">
        <v>31</v>
      </c>
      <c r="H271" t="s">
        <v>16</v>
      </c>
      <c r="I271">
        <v>6.4</v>
      </c>
      <c r="J271">
        <v>6</v>
      </c>
      <c r="K271" t="s">
        <v>17</v>
      </c>
      <c r="L271">
        <v>7</v>
      </c>
      <c r="M271" t="str">
        <f>IF(Table1[[#This Row],[Age]]&lt;=18,"Teen",IF(Table1[[#This Row],[Age]]&lt;=21,"Young Adult","Adult"))</f>
        <v>Young Adult</v>
      </c>
      <c r="N271" t="str">
        <f t="shared" si="20"/>
        <v>High</v>
      </c>
      <c r="O271" t="str">
        <f t="shared" si="21"/>
        <v>High</v>
      </c>
      <c r="P271" t="str">
        <f t="shared" si="22"/>
        <v>Average</v>
      </c>
      <c r="Q271">
        <f t="shared" si="23"/>
        <v>1</v>
      </c>
      <c r="R271" t="str">
        <f t="shared" si="24"/>
        <v>Average</v>
      </c>
      <c r="S271">
        <f>COUNTIF('Students Social Media Addiction'!O:O,"High")/COUNTA(Table1[Student_ID])</f>
        <v>0.5787234042553191</v>
      </c>
      <c r="T271">
        <f>AVERAGE(Table1[Academic Impact Flag])</f>
        <v>0.64255319148936174</v>
      </c>
      <c r="U271">
        <f>AVERAGE(Table1[Sleep_Hours_Per_Night])</f>
        <v>6.868936170212768</v>
      </c>
      <c r="V271">
        <f>AVERAGE(Table1[Mental_Health_Score])</f>
        <v>6.2269503546099294</v>
      </c>
    </row>
    <row r="272" spans="1:22" x14ac:dyDescent="0.3">
      <c r="A272">
        <v>271</v>
      </c>
      <c r="B272">
        <v>20</v>
      </c>
      <c r="C272" t="s">
        <v>12</v>
      </c>
      <c r="D272" t="s">
        <v>13</v>
      </c>
      <c r="E272" t="s">
        <v>32</v>
      </c>
      <c r="F272">
        <v>4.5</v>
      </c>
      <c r="G272" t="s">
        <v>15</v>
      </c>
      <c r="H272" t="s">
        <v>22</v>
      </c>
      <c r="I272">
        <v>7.3</v>
      </c>
      <c r="J272">
        <v>7</v>
      </c>
      <c r="K272" t="s">
        <v>23</v>
      </c>
      <c r="L272">
        <v>5</v>
      </c>
      <c r="M272" t="str">
        <f>IF(Table1[[#This Row],[Age]]&lt;=18,"Teen",IF(Table1[[#This Row],[Age]]&lt;=21,"Young Adult","Adult"))</f>
        <v>Young Adult</v>
      </c>
      <c r="N272" t="str">
        <f t="shared" si="20"/>
        <v>High</v>
      </c>
      <c r="O272" t="str">
        <f t="shared" si="21"/>
        <v>Medium</v>
      </c>
      <c r="P272" t="str">
        <f t="shared" si="22"/>
        <v>Healthy</v>
      </c>
      <c r="Q272">
        <f t="shared" si="23"/>
        <v>0</v>
      </c>
      <c r="R272" t="str">
        <f t="shared" si="24"/>
        <v>Good</v>
      </c>
      <c r="S272">
        <f>COUNTIF('Students Social Media Addiction'!O:O,"High")/COUNTA(Table1[Student_ID])</f>
        <v>0.5787234042553191</v>
      </c>
      <c r="T272">
        <f>AVERAGE(Table1[Academic Impact Flag])</f>
        <v>0.64255319148936174</v>
      </c>
      <c r="U272">
        <f>AVERAGE(Table1[Sleep_Hours_Per_Night])</f>
        <v>6.868936170212768</v>
      </c>
      <c r="V272">
        <f>AVERAGE(Table1[Mental_Health_Score])</f>
        <v>6.2269503546099294</v>
      </c>
    </row>
    <row r="273" spans="1:22" x14ac:dyDescent="0.3">
      <c r="A273">
        <v>272</v>
      </c>
      <c r="B273">
        <v>22</v>
      </c>
      <c r="C273" t="s">
        <v>18</v>
      </c>
      <c r="D273" t="s">
        <v>19</v>
      </c>
      <c r="E273" t="s">
        <v>33</v>
      </c>
      <c r="F273">
        <v>3.7</v>
      </c>
      <c r="G273" t="s">
        <v>31</v>
      </c>
      <c r="H273" t="s">
        <v>22</v>
      </c>
      <c r="I273">
        <v>7.8</v>
      </c>
      <c r="J273">
        <v>8</v>
      </c>
      <c r="K273" t="s">
        <v>17</v>
      </c>
      <c r="L273">
        <v>4</v>
      </c>
      <c r="M273" t="str">
        <f>IF(Table1[[#This Row],[Age]]&lt;=18,"Teen",IF(Table1[[#This Row],[Age]]&lt;=21,"Young Adult","Adult"))</f>
        <v>Adult</v>
      </c>
      <c r="N273" t="str">
        <f t="shared" si="20"/>
        <v>Moderate</v>
      </c>
      <c r="O273" t="str">
        <f t="shared" si="21"/>
        <v>Medium</v>
      </c>
      <c r="P273" t="str">
        <f t="shared" si="22"/>
        <v>Healthy</v>
      </c>
      <c r="Q273">
        <f t="shared" si="23"/>
        <v>0</v>
      </c>
      <c r="R273" t="str">
        <f t="shared" si="24"/>
        <v>Good</v>
      </c>
      <c r="S273">
        <f>COUNTIF('Students Social Media Addiction'!O:O,"High")/COUNTA(Table1[Student_ID])</f>
        <v>0.5787234042553191</v>
      </c>
      <c r="T273">
        <f>AVERAGE(Table1[Academic Impact Flag])</f>
        <v>0.64255319148936174</v>
      </c>
      <c r="U273">
        <f>AVERAGE(Table1[Sleep_Hours_Per_Night])</f>
        <v>6.868936170212768</v>
      </c>
      <c r="V273">
        <f>AVERAGE(Table1[Mental_Health_Score])</f>
        <v>6.2269503546099294</v>
      </c>
    </row>
    <row r="274" spans="1:22" x14ac:dyDescent="0.3">
      <c r="A274">
        <v>273</v>
      </c>
      <c r="B274">
        <v>19</v>
      </c>
      <c r="C274" t="s">
        <v>12</v>
      </c>
      <c r="D274" t="s">
        <v>13</v>
      </c>
      <c r="E274" t="s">
        <v>37</v>
      </c>
      <c r="F274">
        <v>3.2</v>
      </c>
      <c r="G274" t="s">
        <v>139</v>
      </c>
      <c r="H274" t="s">
        <v>22</v>
      </c>
      <c r="I274">
        <v>8.4</v>
      </c>
      <c r="J274">
        <v>8</v>
      </c>
      <c r="K274" t="s">
        <v>23</v>
      </c>
      <c r="L274">
        <v>3</v>
      </c>
      <c r="M274" t="str">
        <f>IF(Table1[[#This Row],[Age]]&lt;=18,"Teen",IF(Table1[[#This Row],[Age]]&lt;=21,"Young Adult","Adult"))</f>
        <v>Young Adult</v>
      </c>
      <c r="N274" t="str">
        <f t="shared" si="20"/>
        <v>Moderate</v>
      </c>
      <c r="O274" t="str">
        <f t="shared" si="21"/>
        <v>Low</v>
      </c>
      <c r="P274" t="str">
        <f t="shared" si="22"/>
        <v>Healthy</v>
      </c>
      <c r="Q274">
        <f t="shared" si="23"/>
        <v>0</v>
      </c>
      <c r="R274" t="str">
        <f t="shared" si="24"/>
        <v>Good</v>
      </c>
      <c r="S274">
        <f>COUNTIF('Students Social Media Addiction'!O:O,"High")/COUNTA(Table1[Student_ID])</f>
        <v>0.5787234042553191</v>
      </c>
      <c r="T274">
        <f>AVERAGE(Table1[Academic Impact Flag])</f>
        <v>0.64255319148936174</v>
      </c>
      <c r="U274">
        <f>AVERAGE(Table1[Sleep_Hours_Per_Night])</f>
        <v>6.868936170212768</v>
      </c>
      <c r="V274">
        <f>AVERAGE(Table1[Mental_Health_Score])</f>
        <v>6.2269503546099294</v>
      </c>
    </row>
    <row r="275" spans="1:22" x14ac:dyDescent="0.3">
      <c r="A275">
        <v>274</v>
      </c>
      <c r="B275">
        <v>21</v>
      </c>
      <c r="C275" t="s">
        <v>18</v>
      </c>
      <c r="D275" t="s">
        <v>19</v>
      </c>
      <c r="E275" t="s">
        <v>41</v>
      </c>
      <c r="F275">
        <v>5.4</v>
      </c>
      <c r="G275" t="s">
        <v>15</v>
      </c>
      <c r="H275" t="s">
        <v>16</v>
      </c>
      <c r="I275">
        <v>6.7</v>
      </c>
      <c r="J275">
        <v>5</v>
      </c>
      <c r="K275" t="s">
        <v>23</v>
      </c>
      <c r="L275">
        <v>7</v>
      </c>
      <c r="M275" t="str">
        <f>IF(Table1[[#This Row],[Age]]&lt;=18,"Teen",IF(Table1[[#This Row],[Age]]&lt;=21,"Young Adult","Adult"))</f>
        <v>Young Adult</v>
      </c>
      <c r="N275" t="str">
        <f t="shared" si="20"/>
        <v>High</v>
      </c>
      <c r="O275" t="str">
        <f t="shared" si="21"/>
        <v>High</v>
      </c>
      <c r="P275" t="str">
        <f t="shared" si="22"/>
        <v>Average</v>
      </c>
      <c r="Q275">
        <f t="shared" si="23"/>
        <v>1</v>
      </c>
      <c r="R275" t="str">
        <f t="shared" si="24"/>
        <v>Average</v>
      </c>
      <c r="S275">
        <f>COUNTIF('Students Social Media Addiction'!O:O,"High")/COUNTA(Table1[Student_ID])</f>
        <v>0.5787234042553191</v>
      </c>
      <c r="T275">
        <f>AVERAGE(Table1[Academic Impact Flag])</f>
        <v>0.64255319148936174</v>
      </c>
      <c r="U275">
        <f>AVERAGE(Table1[Sleep_Hours_Per_Night])</f>
        <v>6.868936170212768</v>
      </c>
      <c r="V275">
        <f>AVERAGE(Table1[Mental_Health_Score])</f>
        <v>6.2269503546099294</v>
      </c>
    </row>
    <row r="276" spans="1:22" x14ac:dyDescent="0.3">
      <c r="A276">
        <v>275</v>
      </c>
      <c r="B276">
        <v>20</v>
      </c>
      <c r="C276" t="s">
        <v>12</v>
      </c>
      <c r="D276" t="s">
        <v>13</v>
      </c>
      <c r="E276" t="s">
        <v>38</v>
      </c>
      <c r="F276">
        <v>4.7</v>
      </c>
      <c r="G276" t="s">
        <v>140</v>
      </c>
      <c r="H276" t="s">
        <v>16</v>
      </c>
      <c r="I276">
        <v>7.1</v>
      </c>
      <c r="J276">
        <v>6</v>
      </c>
      <c r="K276" t="s">
        <v>17</v>
      </c>
      <c r="L276">
        <v>6</v>
      </c>
      <c r="M276" t="str">
        <f>IF(Table1[[#This Row],[Age]]&lt;=18,"Teen",IF(Table1[[#This Row],[Age]]&lt;=21,"Young Adult","Adult"))</f>
        <v>Young Adult</v>
      </c>
      <c r="N276" t="str">
        <f t="shared" si="20"/>
        <v>High</v>
      </c>
      <c r="O276" t="str">
        <f t="shared" si="21"/>
        <v>Medium</v>
      </c>
      <c r="P276" t="str">
        <f t="shared" si="22"/>
        <v>Healthy</v>
      </c>
      <c r="Q276">
        <f t="shared" si="23"/>
        <v>1</v>
      </c>
      <c r="R276" t="str">
        <f t="shared" si="24"/>
        <v>Average</v>
      </c>
      <c r="S276">
        <f>COUNTIF('Students Social Media Addiction'!O:O,"High")/COUNTA(Table1[Student_ID])</f>
        <v>0.5787234042553191</v>
      </c>
      <c r="T276">
        <f>AVERAGE(Table1[Academic Impact Flag])</f>
        <v>0.64255319148936174</v>
      </c>
      <c r="U276">
        <f>AVERAGE(Table1[Sleep_Hours_Per_Night])</f>
        <v>6.868936170212768</v>
      </c>
      <c r="V276">
        <f>AVERAGE(Table1[Mental_Health_Score])</f>
        <v>6.2269503546099294</v>
      </c>
    </row>
    <row r="277" spans="1:22" x14ac:dyDescent="0.3">
      <c r="A277">
        <v>276</v>
      </c>
      <c r="B277">
        <v>22</v>
      </c>
      <c r="C277" t="s">
        <v>18</v>
      </c>
      <c r="D277" t="s">
        <v>19</v>
      </c>
      <c r="E277" t="s">
        <v>43</v>
      </c>
      <c r="F277">
        <v>4.2</v>
      </c>
      <c r="G277" t="s">
        <v>141</v>
      </c>
      <c r="H277" t="s">
        <v>22</v>
      </c>
      <c r="I277">
        <v>7.8</v>
      </c>
      <c r="J277">
        <v>7</v>
      </c>
      <c r="K277" t="s">
        <v>23</v>
      </c>
      <c r="L277">
        <v>5</v>
      </c>
      <c r="M277" t="str">
        <f>IF(Table1[[#This Row],[Age]]&lt;=18,"Teen",IF(Table1[[#This Row],[Age]]&lt;=21,"Young Adult","Adult"))</f>
        <v>Adult</v>
      </c>
      <c r="N277" t="str">
        <f t="shared" si="20"/>
        <v>High</v>
      </c>
      <c r="O277" t="str">
        <f t="shared" si="21"/>
        <v>Medium</v>
      </c>
      <c r="P277" t="str">
        <f t="shared" si="22"/>
        <v>Healthy</v>
      </c>
      <c r="Q277">
        <f t="shared" si="23"/>
        <v>0</v>
      </c>
      <c r="R277" t="str">
        <f t="shared" si="24"/>
        <v>Good</v>
      </c>
      <c r="S277">
        <f>COUNTIF('Students Social Media Addiction'!O:O,"High")/COUNTA(Table1[Student_ID])</f>
        <v>0.5787234042553191</v>
      </c>
      <c r="T277">
        <f>AVERAGE(Table1[Academic Impact Flag])</f>
        <v>0.64255319148936174</v>
      </c>
      <c r="U277">
        <f>AVERAGE(Table1[Sleep_Hours_Per_Night])</f>
        <v>6.868936170212768</v>
      </c>
      <c r="V277">
        <f>AVERAGE(Table1[Mental_Health_Score])</f>
        <v>6.2269503546099294</v>
      </c>
    </row>
    <row r="278" spans="1:22" x14ac:dyDescent="0.3">
      <c r="A278">
        <v>277</v>
      </c>
      <c r="B278">
        <v>19</v>
      </c>
      <c r="C278" t="s">
        <v>12</v>
      </c>
      <c r="D278" t="s">
        <v>13</v>
      </c>
      <c r="E278" t="s">
        <v>24</v>
      </c>
      <c r="F278">
        <v>6.6</v>
      </c>
      <c r="G278" t="s">
        <v>25</v>
      </c>
      <c r="H278" t="s">
        <v>16</v>
      </c>
      <c r="I278">
        <v>5.5</v>
      </c>
      <c r="J278">
        <v>4</v>
      </c>
      <c r="K278" t="s">
        <v>17</v>
      </c>
      <c r="L278">
        <v>9</v>
      </c>
      <c r="M278" t="str">
        <f>IF(Table1[[#This Row],[Age]]&lt;=18,"Teen",IF(Table1[[#This Row],[Age]]&lt;=21,"Young Adult","Adult"))</f>
        <v>Young Adult</v>
      </c>
      <c r="N278" t="str">
        <f t="shared" si="20"/>
        <v>Very High</v>
      </c>
      <c r="O278" t="str">
        <f t="shared" si="21"/>
        <v>High</v>
      </c>
      <c r="P278" t="str">
        <f t="shared" si="22"/>
        <v>Poor</v>
      </c>
      <c r="Q278">
        <f t="shared" si="23"/>
        <v>1</v>
      </c>
      <c r="R278" t="str">
        <f t="shared" si="24"/>
        <v>Poor</v>
      </c>
      <c r="S278">
        <f>COUNTIF('Students Social Media Addiction'!O:O,"High")/COUNTA(Table1[Student_ID])</f>
        <v>0.5787234042553191</v>
      </c>
      <c r="T278">
        <f>AVERAGE(Table1[Academic Impact Flag])</f>
        <v>0.64255319148936174</v>
      </c>
      <c r="U278">
        <f>AVERAGE(Table1[Sleep_Hours_Per_Night])</f>
        <v>6.868936170212768</v>
      </c>
      <c r="V278">
        <f>AVERAGE(Table1[Mental_Health_Score])</f>
        <v>6.2269503546099294</v>
      </c>
    </row>
    <row r="279" spans="1:22" x14ac:dyDescent="0.3">
      <c r="A279">
        <v>278</v>
      </c>
      <c r="B279">
        <v>21</v>
      </c>
      <c r="C279" t="s">
        <v>18</v>
      </c>
      <c r="D279" t="s">
        <v>19</v>
      </c>
      <c r="E279" t="s">
        <v>28</v>
      </c>
      <c r="F279">
        <v>5.0999999999999996</v>
      </c>
      <c r="G279" t="s">
        <v>15</v>
      </c>
      <c r="H279" t="s">
        <v>16</v>
      </c>
      <c r="I279">
        <v>6.5</v>
      </c>
      <c r="J279">
        <v>6</v>
      </c>
      <c r="K279" t="s">
        <v>23</v>
      </c>
      <c r="L279">
        <v>7</v>
      </c>
      <c r="M279" t="str">
        <f>IF(Table1[[#This Row],[Age]]&lt;=18,"Teen",IF(Table1[[#This Row],[Age]]&lt;=21,"Young Adult","Adult"))</f>
        <v>Young Adult</v>
      </c>
      <c r="N279" t="str">
        <f t="shared" si="20"/>
        <v>High</v>
      </c>
      <c r="O279" t="str">
        <f t="shared" si="21"/>
        <v>High</v>
      </c>
      <c r="P279" t="str">
        <f t="shared" si="22"/>
        <v>Average</v>
      </c>
      <c r="Q279">
        <f t="shared" si="23"/>
        <v>1</v>
      </c>
      <c r="R279" t="str">
        <f t="shared" si="24"/>
        <v>Average</v>
      </c>
      <c r="S279">
        <f>COUNTIF('Students Social Media Addiction'!O:O,"High")/COUNTA(Table1[Student_ID])</f>
        <v>0.5787234042553191</v>
      </c>
      <c r="T279">
        <f>AVERAGE(Table1[Academic Impact Flag])</f>
        <v>0.64255319148936174</v>
      </c>
      <c r="U279">
        <f>AVERAGE(Table1[Sleep_Hours_Per_Night])</f>
        <v>6.868936170212768</v>
      </c>
      <c r="V279">
        <f>AVERAGE(Table1[Mental_Health_Score])</f>
        <v>6.2269503546099294</v>
      </c>
    </row>
    <row r="280" spans="1:22" x14ac:dyDescent="0.3">
      <c r="A280">
        <v>279</v>
      </c>
      <c r="B280">
        <v>20</v>
      </c>
      <c r="C280" t="s">
        <v>12</v>
      </c>
      <c r="D280" t="s">
        <v>13</v>
      </c>
      <c r="E280" t="s">
        <v>32</v>
      </c>
      <c r="F280">
        <v>4.4000000000000004</v>
      </c>
      <c r="G280" t="s">
        <v>31</v>
      </c>
      <c r="H280" t="s">
        <v>22</v>
      </c>
      <c r="I280">
        <v>7.4</v>
      </c>
      <c r="J280">
        <v>7</v>
      </c>
      <c r="K280" t="s">
        <v>17</v>
      </c>
      <c r="L280">
        <v>5</v>
      </c>
      <c r="M280" t="str">
        <f>IF(Table1[[#This Row],[Age]]&lt;=18,"Teen",IF(Table1[[#This Row],[Age]]&lt;=21,"Young Adult","Adult"))</f>
        <v>Young Adult</v>
      </c>
      <c r="N280" t="str">
        <f t="shared" si="20"/>
        <v>High</v>
      </c>
      <c r="O280" t="str">
        <f t="shared" si="21"/>
        <v>Medium</v>
      </c>
      <c r="P280" t="str">
        <f t="shared" si="22"/>
        <v>Healthy</v>
      </c>
      <c r="Q280">
        <f t="shared" si="23"/>
        <v>0</v>
      </c>
      <c r="R280" t="str">
        <f t="shared" si="24"/>
        <v>Good</v>
      </c>
      <c r="S280">
        <f>COUNTIF('Students Social Media Addiction'!O:O,"High")/COUNTA(Table1[Student_ID])</f>
        <v>0.5787234042553191</v>
      </c>
      <c r="T280">
        <f>AVERAGE(Table1[Academic Impact Flag])</f>
        <v>0.64255319148936174</v>
      </c>
      <c r="U280">
        <f>AVERAGE(Table1[Sleep_Hours_Per_Night])</f>
        <v>6.868936170212768</v>
      </c>
      <c r="V280">
        <f>AVERAGE(Table1[Mental_Health_Score])</f>
        <v>6.2269503546099294</v>
      </c>
    </row>
    <row r="281" spans="1:22" x14ac:dyDescent="0.3">
      <c r="A281">
        <v>280</v>
      </c>
      <c r="B281">
        <v>22</v>
      </c>
      <c r="C281" t="s">
        <v>18</v>
      </c>
      <c r="D281" t="s">
        <v>19</v>
      </c>
      <c r="E281" t="s">
        <v>33</v>
      </c>
      <c r="F281">
        <v>3.6</v>
      </c>
      <c r="G281" t="s">
        <v>15</v>
      </c>
      <c r="H281" t="s">
        <v>22</v>
      </c>
      <c r="I281">
        <v>7.9</v>
      </c>
      <c r="J281">
        <v>8</v>
      </c>
      <c r="K281" t="s">
        <v>23</v>
      </c>
      <c r="L281">
        <v>4</v>
      </c>
      <c r="M281" t="str">
        <f>IF(Table1[[#This Row],[Age]]&lt;=18,"Teen",IF(Table1[[#This Row],[Age]]&lt;=21,"Young Adult","Adult"))</f>
        <v>Adult</v>
      </c>
      <c r="N281" t="str">
        <f t="shared" si="20"/>
        <v>Moderate</v>
      </c>
      <c r="O281" t="str">
        <f t="shared" si="21"/>
        <v>Medium</v>
      </c>
      <c r="P281" t="str">
        <f t="shared" si="22"/>
        <v>Healthy</v>
      </c>
      <c r="Q281">
        <f t="shared" si="23"/>
        <v>0</v>
      </c>
      <c r="R281" t="str">
        <f t="shared" si="24"/>
        <v>Good</v>
      </c>
      <c r="S281">
        <f>COUNTIF('Students Social Media Addiction'!O:O,"High")/COUNTA(Table1[Student_ID])</f>
        <v>0.5787234042553191</v>
      </c>
      <c r="T281">
        <f>AVERAGE(Table1[Academic Impact Flag])</f>
        <v>0.64255319148936174</v>
      </c>
      <c r="U281">
        <f>AVERAGE(Table1[Sleep_Hours_Per_Night])</f>
        <v>6.868936170212768</v>
      </c>
      <c r="V281">
        <f>AVERAGE(Table1[Mental_Health_Score])</f>
        <v>6.2269503546099294</v>
      </c>
    </row>
    <row r="282" spans="1:22" x14ac:dyDescent="0.3">
      <c r="A282">
        <v>281</v>
      </c>
      <c r="B282">
        <v>19</v>
      </c>
      <c r="C282" t="s">
        <v>12</v>
      </c>
      <c r="D282" t="s">
        <v>13</v>
      </c>
      <c r="E282" t="s">
        <v>37</v>
      </c>
      <c r="F282">
        <v>3.1</v>
      </c>
      <c r="G282" t="s">
        <v>139</v>
      </c>
      <c r="H282" t="s">
        <v>22</v>
      </c>
      <c r="I282">
        <v>8.5</v>
      </c>
      <c r="J282">
        <v>8</v>
      </c>
      <c r="K282" t="s">
        <v>23</v>
      </c>
      <c r="L282">
        <v>3</v>
      </c>
      <c r="M282" t="str">
        <f>IF(Table1[[#This Row],[Age]]&lt;=18,"Teen",IF(Table1[[#This Row],[Age]]&lt;=21,"Young Adult","Adult"))</f>
        <v>Young Adult</v>
      </c>
      <c r="N282" t="str">
        <f t="shared" si="20"/>
        <v>Moderate</v>
      </c>
      <c r="O282" t="str">
        <f t="shared" si="21"/>
        <v>Low</v>
      </c>
      <c r="P282" t="str">
        <f t="shared" si="22"/>
        <v>Healthy</v>
      </c>
      <c r="Q282">
        <f t="shared" si="23"/>
        <v>0</v>
      </c>
      <c r="R282" t="str">
        <f t="shared" si="24"/>
        <v>Good</v>
      </c>
      <c r="S282">
        <f>COUNTIF('Students Social Media Addiction'!O:O,"High")/COUNTA(Table1[Student_ID])</f>
        <v>0.5787234042553191</v>
      </c>
      <c r="T282">
        <f>AVERAGE(Table1[Academic Impact Flag])</f>
        <v>0.64255319148936174</v>
      </c>
      <c r="U282">
        <f>AVERAGE(Table1[Sleep_Hours_Per_Night])</f>
        <v>6.868936170212768</v>
      </c>
      <c r="V282">
        <f>AVERAGE(Table1[Mental_Health_Score])</f>
        <v>6.2269503546099294</v>
      </c>
    </row>
    <row r="283" spans="1:22" x14ac:dyDescent="0.3">
      <c r="A283">
        <v>282</v>
      </c>
      <c r="B283">
        <v>21</v>
      </c>
      <c r="C283" t="s">
        <v>18</v>
      </c>
      <c r="D283" t="s">
        <v>19</v>
      </c>
      <c r="E283" t="s">
        <v>41</v>
      </c>
      <c r="F283">
        <v>5.3</v>
      </c>
      <c r="G283" t="s">
        <v>25</v>
      </c>
      <c r="H283" t="s">
        <v>16</v>
      </c>
      <c r="I283">
        <v>6.8</v>
      </c>
      <c r="J283">
        <v>5</v>
      </c>
      <c r="K283" t="s">
        <v>17</v>
      </c>
      <c r="L283">
        <v>8</v>
      </c>
      <c r="M283" t="str">
        <f>IF(Table1[[#This Row],[Age]]&lt;=18,"Teen",IF(Table1[[#This Row],[Age]]&lt;=21,"Young Adult","Adult"))</f>
        <v>Young Adult</v>
      </c>
      <c r="N283" t="str">
        <f t="shared" si="20"/>
        <v>High</v>
      </c>
      <c r="O283" t="str">
        <f t="shared" si="21"/>
        <v>High</v>
      </c>
      <c r="P283" t="str">
        <f t="shared" si="22"/>
        <v>Average</v>
      </c>
      <c r="Q283">
        <f t="shared" si="23"/>
        <v>1</v>
      </c>
      <c r="R283" t="str">
        <f t="shared" si="24"/>
        <v>Average</v>
      </c>
      <c r="S283">
        <f>COUNTIF('Students Social Media Addiction'!O:O,"High")/COUNTA(Table1[Student_ID])</f>
        <v>0.5787234042553191</v>
      </c>
      <c r="T283">
        <f>AVERAGE(Table1[Academic Impact Flag])</f>
        <v>0.64255319148936174</v>
      </c>
      <c r="U283">
        <f>AVERAGE(Table1[Sleep_Hours_Per_Night])</f>
        <v>6.868936170212768</v>
      </c>
      <c r="V283">
        <f>AVERAGE(Table1[Mental_Health_Score])</f>
        <v>6.2269503546099294</v>
      </c>
    </row>
    <row r="284" spans="1:22" x14ac:dyDescent="0.3">
      <c r="A284">
        <v>283</v>
      </c>
      <c r="B284">
        <v>20</v>
      </c>
      <c r="C284" t="s">
        <v>12</v>
      </c>
      <c r="D284" t="s">
        <v>13</v>
      </c>
      <c r="E284" t="s">
        <v>38</v>
      </c>
      <c r="F284">
        <v>4.5999999999999996</v>
      </c>
      <c r="G284" t="s">
        <v>140</v>
      </c>
      <c r="H284" t="s">
        <v>16</v>
      </c>
      <c r="I284">
        <v>7.2</v>
      </c>
      <c r="J284">
        <v>6</v>
      </c>
      <c r="K284" t="s">
        <v>23</v>
      </c>
      <c r="L284">
        <v>6</v>
      </c>
      <c r="M284" t="str">
        <f>IF(Table1[[#This Row],[Age]]&lt;=18,"Teen",IF(Table1[[#This Row],[Age]]&lt;=21,"Young Adult","Adult"))</f>
        <v>Young Adult</v>
      </c>
      <c r="N284" t="str">
        <f t="shared" si="20"/>
        <v>High</v>
      </c>
      <c r="O284" t="str">
        <f t="shared" si="21"/>
        <v>Medium</v>
      </c>
      <c r="P284" t="str">
        <f t="shared" si="22"/>
        <v>Healthy</v>
      </c>
      <c r="Q284">
        <f t="shared" si="23"/>
        <v>1</v>
      </c>
      <c r="R284" t="str">
        <f t="shared" si="24"/>
        <v>Average</v>
      </c>
      <c r="S284">
        <f>COUNTIF('Students Social Media Addiction'!O:O,"High")/COUNTA(Table1[Student_ID])</f>
        <v>0.5787234042553191</v>
      </c>
      <c r="T284">
        <f>AVERAGE(Table1[Academic Impact Flag])</f>
        <v>0.64255319148936174</v>
      </c>
      <c r="U284">
        <f>AVERAGE(Table1[Sleep_Hours_Per_Night])</f>
        <v>6.868936170212768</v>
      </c>
      <c r="V284">
        <f>AVERAGE(Table1[Mental_Health_Score])</f>
        <v>6.2269503546099294</v>
      </c>
    </row>
    <row r="285" spans="1:22" x14ac:dyDescent="0.3">
      <c r="A285">
        <v>284</v>
      </c>
      <c r="B285">
        <v>22</v>
      </c>
      <c r="C285" t="s">
        <v>18</v>
      </c>
      <c r="D285" t="s">
        <v>19</v>
      </c>
      <c r="E285" t="s">
        <v>43</v>
      </c>
      <c r="F285">
        <v>4.0999999999999996</v>
      </c>
      <c r="G285" t="s">
        <v>141</v>
      </c>
      <c r="H285" t="s">
        <v>22</v>
      </c>
      <c r="I285">
        <v>7.9</v>
      </c>
      <c r="J285">
        <v>7</v>
      </c>
      <c r="K285" t="s">
        <v>17</v>
      </c>
      <c r="L285">
        <v>5</v>
      </c>
      <c r="M285" t="str">
        <f>IF(Table1[[#This Row],[Age]]&lt;=18,"Teen",IF(Table1[[#This Row],[Age]]&lt;=21,"Young Adult","Adult"))</f>
        <v>Adult</v>
      </c>
      <c r="N285" t="str">
        <f t="shared" si="20"/>
        <v>High</v>
      </c>
      <c r="O285" t="str">
        <f t="shared" si="21"/>
        <v>Medium</v>
      </c>
      <c r="P285" t="str">
        <f t="shared" si="22"/>
        <v>Healthy</v>
      </c>
      <c r="Q285">
        <f t="shared" si="23"/>
        <v>0</v>
      </c>
      <c r="R285" t="str">
        <f t="shared" si="24"/>
        <v>Good</v>
      </c>
      <c r="S285">
        <f>COUNTIF('Students Social Media Addiction'!O:O,"High")/COUNTA(Table1[Student_ID])</f>
        <v>0.5787234042553191</v>
      </c>
      <c r="T285">
        <f>AVERAGE(Table1[Academic Impact Flag])</f>
        <v>0.64255319148936174</v>
      </c>
      <c r="U285">
        <f>AVERAGE(Table1[Sleep_Hours_Per_Night])</f>
        <v>6.868936170212768</v>
      </c>
      <c r="V285">
        <f>AVERAGE(Table1[Mental_Health_Score])</f>
        <v>6.2269503546099294</v>
      </c>
    </row>
    <row r="286" spans="1:22" x14ac:dyDescent="0.3">
      <c r="A286">
        <v>285</v>
      </c>
      <c r="B286">
        <v>19</v>
      </c>
      <c r="C286" t="s">
        <v>12</v>
      </c>
      <c r="D286" t="s">
        <v>13</v>
      </c>
      <c r="E286" t="s">
        <v>24</v>
      </c>
      <c r="F286">
        <v>6.7</v>
      </c>
      <c r="G286" t="s">
        <v>15</v>
      </c>
      <c r="H286" t="s">
        <v>16</v>
      </c>
      <c r="I286">
        <v>5.4</v>
      </c>
      <c r="J286">
        <v>4</v>
      </c>
      <c r="K286" t="s">
        <v>23</v>
      </c>
      <c r="L286">
        <v>9</v>
      </c>
      <c r="M286" t="str">
        <f>IF(Table1[[#This Row],[Age]]&lt;=18,"Teen",IF(Table1[[#This Row],[Age]]&lt;=21,"Young Adult","Adult"))</f>
        <v>Young Adult</v>
      </c>
      <c r="N286" t="str">
        <f t="shared" si="20"/>
        <v>Very High</v>
      </c>
      <c r="O286" t="str">
        <f t="shared" si="21"/>
        <v>High</v>
      </c>
      <c r="P286" t="str">
        <f t="shared" si="22"/>
        <v>Poor</v>
      </c>
      <c r="Q286">
        <f t="shared" si="23"/>
        <v>1</v>
      </c>
      <c r="R286" t="str">
        <f t="shared" si="24"/>
        <v>Poor</v>
      </c>
      <c r="S286">
        <f>COUNTIF('Students Social Media Addiction'!O:O,"High")/COUNTA(Table1[Student_ID])</f>
        <v>0.5787234042553191</v>
      </c>
      <c r="T286">
        <f>AVERAGE(Table1[Academic Impact Flag])</f>
        <v>0.64255319148936174</v>
      </c>
      <c r="U286">
        <f>AVERAGE(Table1[Sleep_Hours_Per_Night])</f>
        <v>6.868936170212768</v>
      </c>
      <c r="V286">
        <f>AVERAGE(Table1[Mental_Health_Score])</f>
        <v>6.2269503546099294</v>
      </c>
    </row>
    <row r="287" spans="1:22" x14ac:dyDescent="0.3">
      <c r="A287">
        <v>286</v>
      </c>
      <c r="B287">
        <v>21</v>
      </c>
      <c r="C287" t="s">
        <v>18</v>
      </c>
      <c r="D287" t="s">
        <v>19</v>
      </c>
      <c r="E287" t="s">
        <v>28</v>
      </c>
      <c r="F287">
        <v>5</v>
      </c>
      <c r="G287" t="s">
        <v>31</v>
      </c>
      <c r="H287" t="s">
        <v>16</v>
      </c>
      <c r="I287">
        <v>6.6</v>
      </c>
      <c r="J287">
        <v>6</v>
      </c>
      <c r="K287" t="s">
        <v>17</v>
      </c>
      <c r="L287">
        <v>7</v>
      </c>
      <c r="M287" t="str">
        <f>IF(Table1[[#This Row],[Age]]&lt;=18,"Teen",IF(Table1[[#This Row],[Age]]&lt;=21,"Young Adult","Adult"))</f>
        <v>Young Adult</v>
      </c>
      <c r="N287" t="str">
        <f t="shared" si="20"/>
        <v>High</v>
      </c>
      <c r="O287" t="str">
        <f t="shared" si="21"/>
        <v>High</v>
      </c>
      <c r="P287" t="str">
        <f t="shared" si="22"/>
        <v>Average</v>
      </c>
      <c r="Q287">
        <f t="shared" si="23"/>
        <v>1</v>
      </c>
      <c r="R287" t="str">
        <f t="shared" si="24"/>
        <v>Average</v>
      </c>
      <c r="S287">
        <f>COUNTIF('Students Social Media Addiction'!O:O,"High")/COUNTA(Table1[Student_ID])</f>
        <v>0.5787234042553191</v>
      </c>
      <c r="T287">
        <f>AVERAGE(Table1[Academic Impact Flag])</f>
        <v>0.64255319148936174</v>
      </c>
      <c r="U287">
        <f>AVERAGE(Table1[Sleep_Hours_Per_Night])</f>
        <v>6.868936170212768</v>
      </c>
      <c r="V287">
        <f>AVERAGE(Table1[Mental_Health_Score])</f>
        <v>6.2269503546099294</v>
      </c>
    </row>
    <row r="288" spans="1:22" x14ac:dyDescent="0.3">
      <c r="A288">
        <v>287</v>
      </c>
      <c r="B288">
        <v>20</v>
      </c>
      <c r="C288" t="s">
        <v>12</v>
      </c>
      <c r="D288" t="s">
        <v>13</v>
      </c>
      <c r="E288" t="s">
        <v>32</v>
      </c>
      <c r="F288">
        <v>4.3</v>
      </c>
      <c r="G288" t="s">
        <v>15</v>
      </c>
      <c r="H288" t="s">
        <v>22</v>
      </c>
      <c r="I288">
        <v>7.5</v>
      </c>
      <c r="J288">
        <v>7</v>
      </c>
      <c r="K288" t="s">
        <v>23</v>
      </c>
      <c r="L288">
        <v>5</v>
      </c>
      <c r="M288" t="str">
        <f>IF(Table1[[#This Row],[Age]]&lt;=18,"Teen",IF(Table1[[#This Row],[Age]]&lt;=21,"Young Adult","Adult"))</f>
        <v>Young Adult</v>
      </c>
      <c r="N288" t="str">
        <f t="shared" si="20"/>
        <v>High</v>
      </c>
      <c r="O288" t="str">
        <f t="shared" si="21"/>
        <v>Medium</v>
      </c>
      <c r="P288" t="str">
        <f t="shared" si="22"/>
        <v>Healthy</v>
      </c>
      <c r="Q288">
        <f t="shared" si="23"/>
        <v>0</v>
      </c>
      <c r="R288" t="str">
        <f t="shared" si="24"/>
        <v>Good</v>
      </c>
      <c r="S288">
        <f>COUNTIF('Students Social Media Addiction'!O:O,"High")/COUNTA(Table1[Student_ID])</f>
        <v>0.5787234042553191</v>
      </c>
      <c r="T288">
        <f>AVERAGE(Table1[Academic Impact Flag])</f>
        <v>0.64255319148936174</v>
      </c>
      <c r="U288">
        <f>AVERAGE(Table1[Sleep_Hours_Per_Night])</f>
        <v>6.868936170212768</v>
      </c>
      <c r="V288">
        <f>AVERAGE(Table1[Mental_Health_Score])</f>
        <v>6.2269503546099294</v>
      </c>
    </row>
    <row r="289" spans="1:22" x14ac:dyDescent="0.3">
      <c r="A289">
        <v>288</v>
      </c>
      <c r="B289">
        <v>22</v>
      </c>
      <c r="C289" t="s">
        <v>18</v>
      </c>
      <c r="D289" t="s">
        <v>19</v>
      </c>
      <c r="E289" t="s">
        <v>33</v>
      </c>
      <c r="F289">
        <v>3.5</v>
      </c>
      <c r="G289" t="s">
        <v>31</v>
      </c>
      <c r="H289" t="s">
        <v>22</v>
      </c>
      <c r="I289">
        <v>8</v>
      </c>
      <c r="J289">
        <v>8</v>
      </c>
      <c r="K289" t="s">
        <v>17</v>
      </c>
      <c r="L289">
        <v>4</v>
      </c>
      <c r="M289" t="str">
        <f>IF(Table1[[#This Row],[Age]]&lt;=18,"Teen",IF(Table1[[#This Row],[Age]]&lt;=21,"Young Adult","Adult"))</f>
        <v>Adult</v>
      </c>
      <c r="N289" t="str">
        <f t="shared" si="20"/>
        <v>Moderate</v>
      </c>
      <c r="O289" t="str">
        <f t="shared" si="21"/>
        <v>Medium</v>
      </c>
      <c r="P289" t="str">
        <f t="shared" si="22"/>
        <v>Healthy</v>
      </c>
      <c r="Q289">
        <f t="shared" si="23"/>
        <v>0</v>
      </c>
      <c r="R289" t="str">
        <f t="shared" si="24"/>
        <v>Good</v>
      </c>
      <c r="S289">
        <f>COUNTIF('Students Social Media Addiction'!O:O,"High")/COUNTA(Table1[Student_ID])</f>
        <v>0.5787234042553191</v>
      </c>
      <c r="T289">
        <f>AVERAGE(Table1[Academic Impact Flag])</f>
        <v>0.64255319148936174</v>
      </c>
      <c r="U289">
        <f>AVERAGE(Table1[Sleep_Hours_Per_Night])</f>
        <v>6.868936170212768</v>
      </c>
      <c r="V289">
        <f>AVERAGE(Table1[Mental_Health_Score])</f>
        <v>6.2269503546099294</v>
      </c>
    </row>
    <row r="290" spans="1:22" x14ac:dyDescent="0.3">
      <c r="A290">
        <v>289</v>
      </c>
      <c r="B290">
        <v>19</v>
      </c>
      <c r="C290" t="s">
        <v>12</v>
      </c>
      <c r="D290" t="s">
        <v>13</v>
      </c>
      <c r="E290" t="s">
        <v>37</v>
      </c>
      <c r="F290">
        <v>3</v>
      </c>
      <c r="G290" t="s">
        <v>139</v>
      </c>
      <c r="H290" t="s">
        <v>22</v>
      </c>
      <c r="I290">
        <v>8.6</v>
      </c>
      <c r="J290">
        <v>8</v>
      </c>
      <c r="K290" t="s">
        <v>23</v>
      </c>
      <c r="L290">
        <v>3</v>
      </c>
      <c r="M290" t="str">
        <f>IF(Table1[[#This Row],[Age]]&lt;=18,"Teen",IF(Table1[[#This Row],[Age]]&lt;=21,"Young Adult","Adult"))</f>
        <v>Young Adult</v>
      </c>
      <c r="N290" t="str">
        <f t="shared" si="20"/>
        <v>Moderate</v>
      </c>
      <c r="O290" t="str">
        <f t="shared" si="21"/>
        <v>Low</v>
      </c>
      <c r="P290" t="str">
        <f t="shared" si="22"/>
        <v>Healthy</v>
      </c>
      <c r="Q290">
        <f t="shared" si="23"/>
        <v>0</v>
      </c>
      <c r="R290" t="str">
        <f t="shared" si="24"/>
        <v>Good</v>
      </c>
      <c r="S290">
        <f>COUNTIF('Students Social Media Addiction'!O:O,"High")/COUNTA(Table1[Student_ID])</f>
        <v>0.5787234042553191</v>
      </c>
      <c r="T290">
        <f>AVERAGE(Table1[Academic Impact Flag])</f>
        <v>0.64255319148936174</v>
      </c>
      <c r="U290">
        <f>AVERAGE(Table1[Sleep_Hours_Per_Night])</f>
        <v>6.868936170212768</v>
      </c>
      <c r="V290">
        <f>AVERAGE(Table1[Mental_Health_Score])</f>
        <v>6.2269503546099294</v>
      </c>
    </row>
    <row r="291" spans="1:22" x14ac:dyDescent="0.3">
      <c r="A291">
        <v>290</v>
      </c>
      <c r="B291">
        <v>21</v>
      </c>
      <c r="C291" t="s">
        <v>18</v>
      </c>
      <c r="D291" t="s">
        <v>19</v>
      </c>
      <c r="E291" t="s">
        <v>41</v>
      </c>
      <c r="F291">
        <v>5.2</v>
      </c>
      <c r="G291" t="s">
        <v>15</v>
      </c>
      <c r="H291" t="s">
        <v>16</v>
      </c>
      <c r="I291">
        <v>6.9</v>
      </c>
      <c r="J291">
        <v>5</v>
      </c>
      <c r="K291" t="s">
        <v>23</v>
      </c>
      <c r="L291">
        <v>7</v>
      </c>
      <c r="M291" t="str">
        <f>IF(Table1[[#This Row],[Age]]&lt;=18,"Teen",IF(Table1[[#This Row],[Age]]&lt;=21,"Young Adult","Adult"))</f>
        <v>Young Adult</v>
      </c>
      <c r="N291" t="str">
        <f t="shared" si="20"/>
        <v>High</v>
      </c>
      <c r="O291" t="str">
        <f t="shared" si="21"/>
        <v>High</v>
      </c>
      <c r="P291" t="str">
        <f t="shared" si="22"/>
        <v>Average</v>
      </c>
      <c r="Q291">
        <f t="shared" si="23"/>
        <v>1</v>
      </c>
      <c r="R291" t="str">
        <f t="shared" si="24"/>
        <v>Average</v>
      </c>
      <c r="S291">
        <f>COUNTIF('Students Social Media Addiction'!O:O,"High")/COUNTA(Table1[Student_ID])</f>
        <v>0.5787234042553191</v>
      </c>
      <c r="T291">
        <f>AVERAGE(Table1[Academic Impact Flag])</f>
        <v>0.64255319148936174</v>
      </c>
      <c r="U291">
        <f>AVERAGE(Table1[Sleep_Hours_Per_Night])</f>
        <v>6.868936170212768</v>
      </c>
      <c r="V291">
        <f>AVERAGE(Table1[Mental_Health_Score])</f>
        <v>6.2269503546099294</v>
      </c>
    </row>
    <row r="292" spans="1:22" x14ac:dyDescent="0.3">
      <c r="A292">
        <v>291</v>
      </c>
      <c r="B292">
        <v>20</v>
      </c>
      <c r="C292" t="s">
        <v>12</v>
      </c>
      <c r="D292" t="s">
        <v>13</v>
      </c>
      <c r="E292" t="s">
        <v>38</v>
      </c>
      <c r="F292">
        <v>4.5</v>
      </c>
      <c r="G292" t="s">
        <v>140</v>
      </c>
      <c r="H292" t="s">
        <v>16</v>
      </c>
      <c r="I292">
        <v>7.3</v>
      </c>
      <c r="J292">
        <v>6</v>
      </c>
      <c r="K292" t="s">
        <v>17</v>
      </c>
      <c r="L292">
        <v>6</v>
      </c>
      <c r="M292" t="str">
        <f>IF(Table1[[#This Row],[Age]]&lt;=18,"Teen",IF(Table1[[#This Row],[Age]]&lt;=21,"Young Adult","Adult"))</f>
        <v>Young Adult</v>
      </c>
      <c r="N292" t="str">
        <f t="shared" si="20"/>
        <v>High</v>
      </c>
      <c r="O292" t="str">
        <f t="shared" si="21"/>
        <v>Medium</v>
      </c>
      <c r="P292" t="str">
        <f t="shared" si="22"/>
        <v>Healthy</v>
      </c>
      <c r="Q292">
        <f t="shared" si="23"/>
        <v>1</v>
      </c>
      <c r="R292" t="str">
        <f t="shared" si="24"/>
        <v>Average</v>
      </c>
      <c r="S292">
        <f>COUNTIF('Students Social Media Addiction'!O:O,"High")/COUNTA(Table1[Student_ID])</f>
        <v>0.5787234042553191</v>
      </c>
      <c r="T292">
        <f>AVERAGE(Table1[Academic Impact Flag])</f>
        <v>0.64255319148936174</v>
      </c>
      <c r="U292">
        <f>AVERAGE(Table1[Sleep_Hours_Per_Night])</f>
        <v>6.868936170212768</v>
      </c>
      <c r="V292">
        <f>AVERAGE(Table1[Mental_Health_Score])</f>
        <v>6.2269503546099294</v>
      </c>
    </row>
    <row r="293" spans="1:22" x14ac:dyDescent="0.3">
      <c r="A293">
        <v>292</v>
      </c>
      <c r="B293">
        <v>22</v>
      </c>
      <c r="C293" t="s">
        <v>18</v>
      </c>
      <c r="D293" t="s">
        <v>19</v>
      </c>
      <c r="E293" t="s">
        <v>43</v>
      </c>
      <c r="F293">
        <v>4</v>
      </c>
      <c r="G293" t="s">
        <v>141</v>
      </c>
      <c r="H293" t="s">
        <v>22</v>
      </c>
      <c r="I293">
        <v>8</v>
      </c>
      <c r="J293">
        <v>7</v>
      </c>
      <c r="K293" t="s">
        <v>23</v>
      </c>
      <c r="L293">
        <v>5</v>
      </c>
      <c r="M293" t="str">
        <f>IF(Table1[[#This Row],[Age]]&lt;=18,"Teen",IF(Table1[[#This Row],[Age]]&lt;=21,"Young Adult","Adult"))</f>
        <v>Adult</v>
      </c>
      <c r="N293" t="str">
        <f t="shared" si="20"/>
        <v>High</v>
      </c>
      <c r="O293" t="str">
        <f t="shared" si="21"/>
        <v>Medium</v>
      </c>
      <c r="P293" t="str">
        <f t="shared" si="22"/>
        <v>Healthy</v>
      </c>
      <c r="Q293">
        <f t="shared" si="23"/>
        <v>0</v>
      </c>
      <c r="R293" t="str">
        <f t="shared" si="24"/>
        <v>Good</v>
      </c>
      <c r="S293">
        <f>COUNTIF('Students Social Media Addiction'!O:O,"High")/COUNTA(Table1[Student_ID])</f>
        <v>0.5787234042553191</v>
      </c>
      <c r="T293">
        <f>AVERAGE(Table1[Academic Impact Flag])</f>
        <v>0.64255319148936174</v>
      </c>
      <c r="U293">
        <f>AVERAGE(Table1[Sleep_Hours_Per_Night])</f>
        <v>6.868936170212768</v>
      </c>
      <c r="V293">
        <f>AVERAGE(Table1[Mental_Health_Score])</f>
        <v>6.2269503546099294</v>
      </c>
    </row>
    <row r="294" spans="1:22" x14ac:dyDescent="0.3">
      <c r="A294">
        <v>293</v>
      </c>
      <c r="B294">
        <v>19</v>
      </c>
      <c r="C294" t="s">
        <v>12</v>
      </c>
      <c r="D294" t="s">
        <v>13</v>
      </c>
      <c r="E294" t="s">
        <v>24</v>
      </c>
      <c r="F294">
        <v>6.8</v>
      </c>
      <c r="G294" t="s">
        <v>25</v>
      </c>
      <c r="H294" t="s">
        <v>16</v>
      </c>
      <c r="I294">
        <v>5.3</v>
      </c>
      <c r="J294">
        <v>4</v>
      </c>
      <c r="K294" t="s">
        <v>17</v>
      </c>
      <c r="L294">
        <v>9</v>
      </c>
      <c r="M294" t="str">
        <f>IF(Table1[[#This Row],[Age]]&lt;=18,"Teen",IF(Table1[[#This Row],[Age]]&lt;=21,"Young Adult","Adult"))</f>
        <v>Young Adult</v>
      </c>
      <c r="N294" t="str">
        <f t="shared" si="20"/>
        <v>Very High</v>
      </c>
      <c r="O294" t="str">
        <f t="shared" si="21"/>
        <v>High</v>
      </c>
      <c r="P294" t="str">
        <f t="shared" si="22"/>
        <v>Poor</v>
      </c>
      <c r="Q294">
        <f t="shared" si="23"/>
        <v>1</v>
      </c>
      <c r="R294" t="str">
        <f t="shared" si="24"/>
        <v>Poor</v>
      </c>
      <c r="S294">
        <f>COUNTIF('Students Social Media Addiction'!O:O,"High")/COUNTA(Table1[Student_ID])</f>
        <v>0.5787234042553191</v>
      </c>
      <c r="T294">
        <f>AVERAGE(Table1[Academic Impact Flag])</f>
        <v>0.64255319148936174</v>
      </c>
      <c r="U294">
        <f>AVERAGE(Table1[Sleep_Hours_Per_Night])</f>
        <v>6.868936170212768</v>
      </c>
      <c r="V294">
        <f>AVERAGE(Table1[Mental_Health_Score])</f>
        <v>6.2269503546099294</v>
      </c>
    </row>
    <row r="295" spans="1:22" x14ac:dyDescent="0.3">
      <c r="A295">
        <v>294</v>
      </c>
      <c r="B295">
        <v>21</v>
      </c>
      <c r="C295" t="s">
        <v>18</v>
      </c>
      <c r="D295" t="s">
        <v>19</v>
      </c>
      <c r="E295" t="s">
        <v>28</v>
      </c>
      <c r="F295">
        <v>4.9000000000000004</v>
      </c>
      <c r="G295" t="s">
        <v>15</v>
      </c>
      <c r="H295" t="s">
        <v>16</v>
      </c>
      <c r="I295">
        <v>6.7</v>
      </c>
      <c r="J295">
        <v>6</v>
      </c>
      <c r="K295" t="s">
        <v>23</v>
      </c>
      <c r="L295">
        <v>7</v>
      </c>
      <c r="M295" t="str">
        <f>IF(Table1[[#This Row],[Age]]&lt;=18,"Teen",IF(Table1[[#This Row],[Age]]&lt;=21,"Young Adult","Adult"))</f>
        <v>Young Adult</v>
      </c>
      <c r="N295" t="str">
        <f t="shared" si="20"/>
        <v>High</v>
      </c>
      <c r="O295" t="str">
        <f t="shared" si="21"/>
        <v>High</v>
      </c>
      <c r="P295" t="str">
        <f t="shared" si="22"/>
        <v>Average</v>
      </c>
      <c r="Q295">
        <f t="shared" si="23"/>
        <v>1</v>
      </c>
      <c r="R295" t="str">
        <f t="shared" si="24"/>
        <v>Average</v>
      </c>
      <c r="S295">
        <f>COUNTIF('Students Social Media Addiction'!O:O,"High")/COUNTA(Table1[Student_ID])</f>
        <v>0.5787234042553191</v>
      </c>
      <c r="T295">
        <f>AVERAGE(Table1[Academic Impact Flag])</f>
        <v>0.64255319148936174</v>
      </c>
      <c r="U295">
        <f>AVERAGE(Table1[Sleep_Hours_Per_Night])</f>
        <v>6.868936170212768</v>
      </c>
      <c r="V295">
        <f>AVERAGE(Table1[Mental_Health_Score])</f>
        <v>6.2269503546099294</v>
      </c>
    </row>
    <row r="296" spans="1:22" x14ac:dyDescent="0.3">
      <c r="A296">
        <v>295</v>
      </c>
      <c r="B296">
        <v>20</v>
      </c>
      <c r="C296" t="s">
        <v>12</v>
      </c>
      <c r="D296" t="s">
        <v>13</v>
      </c>
      <c r="E296" t="s">
        <v>32</v>
      </c>
      <c r="F296">
        <v>4.2</v>
      </c>
      <c r="G296" t="s">
        <v>31</v>
      </c>
      <c r="H296" t="s">
        <v>22</v>
      </c>
      <c r="I296">
        <v>7.6</v>
      </c>
      <c r="J296">
        <v>7</v>
      </c>
      <c r="K296" t="s">
        <v>17</v>
      </c>
      <c r="L296">
        <v>5</v>
      </c>
      <c r="M296" t="str">
        <f>IF(Table1[[#This Row],[Age]]&lt;=18,"Teen",IF(Table1[[#This Row],[Age]]&lt;=21,"Young Adult","Adult"))</f>
        <v>Young Adult</v>
      </c>
      <c r="N296" t="str">
        <f t="shared" si="20"/>
        <v>High</v>
      </c>
      <c r="O296" t="str">
        <f t="shared" si="21"/>
        <v>Medium</v>
      </c>
      <c r="P296" t="str">
        <f t="shared" si="22"/>
        <v>Healthy</v>
      </c>
      <c r="Q296">
        <f t="shared" si="23"/>
        <v>0</v>
      </c>
      <c r="R296" t="str">
        <f t="shared" si="24"/>
        <v>Good</v>
      </c>
      <c r="S296">
        <f>COUNTIF('Students Social Media Addiction'!O:O,"High")/COUNTA(Table1[Student_ID])</f>
        <v>0.5787234042553191</v>
      </c>
      <c r="T296">
        <f>AVERAGE(Table1[Academic Impact Flag])</f>
        <v>0.64255319148936174</v>
      </c>
      <c r="U296">
        <f>AVERAGE(Table1[Sleep_Hours_Per_Night])</f>
        <v>6.868936170212768</v>
      </c>
      <c r="V296">
        <f>AVERAGE(Table1[Mental_Health_Score])</f>
        <v>6.2269503546099294</v>
      </c>
    </row>
    <row r="297" spans="1:22" x14ac:dyDescent="0.3">
      <c r="A297">
        <v>296</v>
      </c>
      <c r="B297">
        <v>22</v>
      </c>
      <c r="C297" t="s">
        <v>18</v>
      </c>
      <c r="D297" t="s">
        <v>19</v>
      </c>
      <c r="E297" t="s">
        <v>33</v>
      </c>
      <c r="F297">
        <v>3.4</v>
      </c>
      <c r="G297" t="s">
        <v>15</v>
      </c>
      <c r="H297" t="s">
        <v>22</v>
      </c>
      <c r="I297">
        <v>8.1</v>
      </c>
      <c r="J297">
        <v>8</v>
      </c>
      <c r="K297" t="s">
        <v>23</v>
      </c>
      <c r="L297">
        <v>4</v>
      </c>
      <c r="M297" t="str">
        <f>IF(Table1[[#This Row],[Age]]&lt;=18,"Teen",IF(Table1[[#This Row],[Age]]&lt;=21,"Young Adult","Adult"))</f>
        <v>Adult</v>
      </c>
      <c r="N297" t="str">
        <f t="shared" si="20"/>
        <v>Moderate</v>
      </c>
      <c r="O297" t="str">
        <f t="shared" si="21"/>
        <v>Medium</v>
      </c>
      <c r="P297" t="str">
        <f t="shared" si="22"/>
        <v>Healthy</v>
      </c>
      <c r="Q297">
        <f t="shared" si="23"/>
        <v>0</v>
      </c>
      <c r="R297" t="str">
        <f t="shared" si="24"/>
        <v>Good</v>
      </c>
      <c r="S297">
        <f>COUNTIF('Students Social Media Addiction'!O:O,"High")/COUNTA(Table1[Student_ID])</f>
        <v>0.5787234042553191</v>
      </c>
      <c r="T297">
        <f>AVERAGE(Table1[Academic Impact Flag])</f>
        <v>0.64255319148936174</v>
      </c>
      <c r="U297">
        <f>AVERAGE(Table1[Sleep_Hours_Per_Night])</f>
        <v>6.868936170212768</v>
      </c>
      <c r="V297">
        <f>AVERAGE(Table1[Mental_Health_Score])</f>
        <v>6.2269503546099294</v>
      </c>
    </row>
    <row r="298" spans="1:22" x14ac:dyDescent="0.3">
      <c r="A298">
        <v>297</v>
      </c>
      <c r="B298">
        <v>19</v>
      </c>
      <c r="C298" t="s">
        <v>12</v>
      </c>
      <c r="D298" t="s">
        <v>13</v>
      </c>
      <c r="E298" t="s">
        <v>37</v>
      </c>
      <c r="F298">
        <v>2.9</v>
      </c>
      <c r="G298" t="s">
        <v>139</v>
      </c>
      <c r="H298" t="s">
        <v>22</v>
      </c>
      <c r="I298">
        <v>8.6999999999999993</v>
      </c>
      <c r="J298">
        <v>8</v>
      </c>
      <c r="K298" t="s">
        <v>23</v>
      </c>
      <c r="L298">
        <v>3</v>
      </c>
      <c r="M298" t="str">
        <f>IF(Table1[[#This Row],[Age]]&lt;=18,"Teen",IF(Table1[[#This Row],[Age]]&lt;=21,"Young Adult","Adult"))</f>
        <v>Young Adult</v>
      </c>
      <c r="N298" t="str">
        <f t="shared" si="20"/>
        <v>Moderate</v>
      </c>
      <c r="O298" t="str">
        <f t="shared" si="21"/>
        <v>Low</v>
      </c>
      <c r="P298" t="str">
        <f t="shared" si="22"/>
        <v>Healthy</v>
      </c>
      <c r="Q298">
        <f t="shared" si="23"/>
        <v>0</v>
      </c>
      <c r="R298" t="str">
        <f t="shared" si="24"/>
        <v>Good</v>
      </c>
      <c r="S298">
        <f>COUNTIF('Students Social Media Addiction'!O:O,"High")/COUNTA(Table1[Student_ID])</f>
        <v>0.5787234042553191</v>
      </c>
      <c r="T298">
        <f>AVERAGE(Table1[Academic Impact Flag])</f>
        <v>0.64255319148936174</v>
      </c>
      <c r="U298">
        <f>AVERAGE(Table1[Sleep_Hours_Per_Night])</f>
        <v>6.868936170212768</v>
      </c>
      <c r="V298">
        <f>AVERAGE(Table1[Mental_Health_Score])</f>
        <v>6.2269503546099294</v>
      </c>
    </row>
    <row r="299" spans="1:22" x14ac:dyDescent="0.3">
      <c r="A299">
        <v>298</v>
      </c>
      <c r="B299">
        <v>21</v>
      </c>
      <c r="C299" t="s">
        <v>18</v>
      </c>
      <c r="D299" t="s">
        <v>19</v>
      </c>
      <c r="E299" t="s">
        <v>41</v>
      </c>
      <c r="F299">
        <v>5.0999999999999996</v>
      </c>
      <c r="G299" t="s">
        <v>25</v>
      </c>
      <c r="H299" t="s">
        <v>16</v>
      </c>
      <c r="I299">
        <v>7</v>
      </c>
      <c r="J299">
        <v>5</v>
      </c>
      <c r="K299" t="s">
        <v>17</v>
      </c>
      <c r="L299">
        <v>8</v>
      </c>
      <c r="M299" t="str">
        <f>IF(Table1[[#This Row],[Age]]&lt;=18,"Teen",IF(Table1[[#This Row],[Age]]&lt;=21,"Young Adult","Adult"))</f>
        <v>Young Adult</v>
      </c>
      <c r="N299" t="str">
        <f t="shared" si="20"/>
        <v>High</v>
      </c>
      <c r="O299" t="str">
        <f t="shared" si="21"/>
        <v>High</v>
      </c>
      <c r="P299" t="str">
        <f t="shared" si="22"/>
        <v>Average</v>
      </c>
      <c r="Q299">
        <f t="shared" si="23"/>
        <v>1</v>
      </c>
      <c r="R299" t="str">
        <f t="shared" si="24"/>
        <v>Average</v>
      </c>
      <c r="S299">
        <f>COUNTIF('Students Social Media Addiction'!O:O,"High")/COUNTA(Table1[Student_ID])</f>
        <v>0.5787234042553191</v>
      </c>
      <c r="T299">
        <f>AVERAGE(Table1[Academic Impact Flag])</f>
        <v>0.64255319148936174</v>
      </c>
      <c r="U299">
        <f>AVERAGE(Table1[Sleep_Hours_Per_Night])</f>
        <v>6.868936170212768</v>
      </c>
      <c r="V299">
        <f>AVERAGE(Table1[Mental_Health_Score])</f>
        <v>6.2269503546099294</v>
      </c>
    </row>
    <row r="300" spans="1:22" x14ac:dyDescent="0.3">
      <c r="A300">
        <v>299</v>
      </c>
      <c r="B300">
        <v>20</v>
      </c>
      <c r="C300" t="s">
        <v>12</v>
      </c>
      <c r="D300" t="s">
        <v>13</v>
      </c>
      <c r="E300" t="s">
        <v>38</v>
      </c>
      <c r="F300">
        <v>4.4000000000000004</v>
      </c>
      <c r="G300" t="s">
        <v>140</v>
      </c>
      <c r="H300" t="s">
        <v>16</v>
      </c>
      <c r="I300">
        <v>7.4</v>
      </c>
      <c r="J300">
        <v>6</v>
      </c>
      <c r="K300" t="s">
        <v>23</v>
      </c>
      <c r="L300">
        <v>6</v>
      </c>
      <c r="M300" t="str">
        <f>IF(Table1[[#This Row],[Age]]&lt;=18,"Teen",IF(Table1[[#This Row],[Age]]&lt;=21,"Young Adult","Adult"))</f>
        <v>Young Adult</v>
      </c>
      <c r="N300" t="str">
        <f t="shared" si="20"/>
        <v>High</v>
      </c>
      <c r="O300" t="str">
        <f t="shared" si="21"/>
        <v>Medium</v>
      </c>
      <c r="P300" t="str">
        <f t="shared" si="22"/>
        <v>Healthy</v>
      </c>
      <c r="Q300">
        <f t="shared" si="23"/>
        <v>1</v>
      </c>
      <c r="R300" t="str">
        <f t="shared" si="24"/>
        <v>Average</v>
      </c>
      <c r="S300">
        <f>COUNTIF('Students Social Media Addiction'!O:O,"High")/COUNTA(Table1[Student_ID])</f>
        <v>0.5787234042553191</v>
      </c>
      <c r="T300">
        <f>AVERAGE(Table1[Academic Impact Flag])</f>
        <v>0.64255319148936174</v>
      </c>
      <c r="U300">
        <f>AVERAGE(Table1[Sleep_Hours_Per_Night])</f>
        <v>6.868936170212768</v>
      </c>
      <c r="V300">
        <f>AVERAGE(Table1[Mental_Health_Score])</f>
        <v>6.2269503546099294</v>
      </c>
    </row>
    <row r="301" spans="1:22" x14ac:dyDescent="0.3">
      <c r="A301">
        <v>300</v>
      </c>
      <c r="B301">
        <v>22</v>
      </c>
      <c r="C301" t="s">
        <v>18</v>
      </c>
      <c r="D301" t="s">
        <v>19</v>
      </c>
      <c r="E301" t="s">
        <v>43</v>
      </c>
      <c r="F301">
        <v>3.9</v>
      </c>
      <c r="G301" t="s">
        <v>141</v>
      </c>
      <c r="H301" t="s">
        <v>22</v>
      </c>
      <c r="I301">
        <v>8.1</v>
      </c>
      <c r="J301">
        <v>7</v>
      </c>
      <c r="K301" t="s">
        <v>17</v>
      </c>
      <c r="L301">
        <v>5</v>
      </c>
      <c r="M301" t="str">
        <f>IF(Table1[[#This Row],[Age]]&lt;=18,"Teen",IF(Table1[[#This Row],[Age]]&lt;=21,"Young Adult","Adult"))</f>
        <v>Adult</v>
      </c>
      <c r="N301" t="str">
        <f t="shared" si="20"/>
        <v>Moderate</v>
      </c>
      <c r="O301" t="str">
        <f t="shared" si="21"/>
        <v>Medium</v>
      </c>
      <c r="P301" t="str">
        <f t="shared" si="22"/>
        <v>Healthy</v>
      </c>
      <c r="Q301">
        <f t="shared" si="23"/>
        <v>0</v>
      </c>
      <c r="R301" t="str">
        <f t="shared" si="24"/>
        <v>Good</v>
      </c>
      <c r="S301">
        <f>COUNTIF('Students Social Media Addiction'!O:O,"High")/COUNTA(Table1[Student_ID])</f>
        <v>0.5787234042553191</v>
      </c>
      <c r="T301">
        <f>AVERAGE(Table1[Academic Impact Flag])</f>
        <v>0.64255319148936174</v>
      </c>
      <c r="U301">
        <f>AVERAGE(Table1[Sleep_Hours_Per_Night])</f>
        <v>6.868936170212768</v>
      </c>
      <c r="V301">
        <f>AVERAGE(Table1[Mental_Health_Score])</f>
        <v>6.2269503546099294</v>
      </c>
    </row>
    <row r="302" spans="1:22" x14ac:dyDescent="0.3">
      <c r="A302">
        <v>301</v>
      </c>
      <c r="B302">
        <v>19</v>
      </c>
      <c r="C302" t="s">
        <v>12</v>
      </c>
      <c r="D302" t="s">
        <v>13</v>
      </c>
      <c r="E302" t="s">
        <v>24</v>
      </c>
      <c r="F302">
        <v>6.9</v>
      </c>
      <c r="G302" t="s">
        <v>15</v>
      </c>
      <c r="H302" t="s">
        <v>16</v>
      </c>
      <c r="I302">
        <v>5.2</v>
      </c>
      <c r="J302">
        <v>4</v>
      </c>
      <c r="K302" t="s">
        <v>23</v>
      </c>
      <c r="L302">
        <v>9</v>
      </c>
      <c r="M302" t="str">
        <f>IF(Table1[[#This Row],[Age]]&lt;=18,"Teen",IF(Table1[[#This Row],[Age]]&lt;=21,"Young Adult","Adult"))</f>
        <v>Young Adult</v>
      </c>
      <c r="N302" t="str">
        <f t="shared" si="20"/>
        <v>Very High</v>
      </c>
      <c r="O302" t="str">
        <f t="shared" si="21"/>
        <v>High</v>
      </c>
      <c r="P302" t="str">
        <f t="shared" si="22"/>
        <v>Poor</v>
      </c>
      <c r="Q302">
        <f t="shared" si="23"/>
        <v>1</v>
      </c>
      <c r="R302" t="str">
        <f t="shared" si="24"/>
        <v>Poor</v>
      </c>
      <c r="S302">
        <f>COUNTIF('Students Social Media Addiction'!O:O,"High")/COUNTA(Table1[Student_ID])</f>
        <v>0.5787234042553191</v>
      </c>
      <c r="T302">
        <f>AVERAGE(Table1[Academic Impact Flag])</f>
        <v>0.64255319148936174</v>
      </c>
      <c r="U302">
        <f>AVERAGE(Table1[Sleep_Hours_Per_Night])</f>
        <v>6.868936170212768</v>
      </c>
      <c r="V302">
        <f>AVERAGE(Table1[Mental_Health_Score])</f>
        <v>6.2269503546099294</v>
      </c>
    </row>
    <row r="303" spans="1:22" x14ac:dyDescent="0.3">
      <c r="A303">
        <v>302</v>
      </c>
      <c r="B303">
        <v>21</v>
      </c>
      <c r="C303" t="s">
        <v>18</v>
      </c>
      <c r="D303" t="s">
        <v>19</v>
      </c>
      <c r="E303" t="s">
        <v>28</v>
      </c>
      <c r="F303">
        <v>4.8</v>
      </c>
      <c r="G303" t="s">
        <v>31</v>
      </c>
      <c r="H303" t="s">
        <v>16</v>
      </c>
      <c r="I303">
        <v>6.8</v>
      </c>
      <c r="J303">
        <v>6</v>
      </c>
      <c r="K303" t="s">
        <v>17</v>
      </c>
      <c r="L303">
        <v>7</v>
      </c>
      <c r="M303" t="str">
        <f>IF(Table1[[#This Row],[Age]]&lt;=18,"Teen",IF(Table1[[#This Row],[Age]]&lt;=21,"Young Adult","Adult"))</f>
        <v>Young Adult</v>
      </c>
      <c r="N303" t="str">
        <f t="shared" si="20"/>
        <v>High</v>
      </c>
      <c r="O303" t="str">
        <f t="shared" si="21"/>
        <v>High</v>
      </c>
      <c r="P303" t="str">
        <f t="shared" si="22"/>
        <v>Average</v>
      </c>
      <c r="Q303">
        <f t="shared" si="23"/>
        <v>1</v>
      </c>
      <c r="R303" t="str">
        <f t="shared" si="24"/>
        <v>Average</v>
      </c>
      <c r="S303">
        <f>COUNTIF('Students Social Media Addiction'!O:O,"High")/COUNTA(Table1[Student_ID])</f>
        <v>0.5787234042553191</v>
      </c>
      <c r="T303">
        <f>AVERAGE(Table1[Academic Impact Flag])</f>
        <v>0.64255319148936174</v>
      </c>
      <c r="U303">
        <f>AVERAGE(Table1[Sleep_Hours_Per_Night])</f>
        <v>6.868936170212768</v>
      </c>
      <c r="V303">
        <f>AVERAGE(Table1[Mental_Health_Score])</f>
        <v>6.2269503546099294</v>
      </c>
    </row>
    <row r="304" spans="1:22" x14ac:dyDescent="0.3">
      <c r="A304">
        <v>303</v>
      </c>
      <c r="B304">
        <v>20</v>
      </c>
      <c r="C304" t="s">
        <v>12</v>
      </c>
      <c r="D304" t="s">
        <v>13</v>
      </c>
      <c r="E304" t="s">
        <v>32</v>
      </c>
      <c r="F304">
        <v>4.0999999999999996</v>
      </c>
      <c r="G304" t="s">
        <v>15</v>
      </c>
      <c r="H304" t="s">
        <v>22</v>
      </c>
      <c r="I304">
        <v>7.7</v>
      </c>
      <c r="J304">
        <v>7</v>
      </c>
      <c r="K304" t="s">
        <v>23</v>
      </c>
      <c r="L304">
        <v>5</v>
      </c>
      <c r="M304" t="str">
        <f>IF(Table1[[#This Row],[Age]]&lt;=18,"Teen",IF(Table1[[#This Row],[Age]]&lt;=21,"Young Adult","Adult"))</f>
        <v>Young Adult</v>
      </c>
      <c r="N304" t="str">
        <f t="shared" si="20"/>
        <v>High</v>
      </c>
      <c r="O304" t="str">
        <f t="shared" si="21"/>
        <v>Medium</v>
      </c>
      <c r="P304" t="str">
        <f t="shared" si="22"/>
        <v>Healthy</v>
      </c>
      <c r="Q304">
        <f t="shared" si="23"/>
        <v>0</v>
      </c>
      <c r="R304" t="str">
        <f t="shared" si="24"/>
        <v>Good</v>
      </c>
      <c r="S304">
        <f>COUNTIF('Students Social Media Addiction'!O:O,"High")/COUNTA(Table1[Student_ID])</f>
        <v>0.5787234042553191</v>
      </c>
      <c r="T304">
        <f>AVERAGE(Table1[Academic Impact Flag])</f>
        <v>0.64255319148936174</v>
      </c>
      <c r="U304">
        <f>AVERAGE(Table1[Sleep_Hours_Per_Night])</f>
        <v>6.868936170212768</v>
      </c>
      <c r="V304">
        <f>AVERAGE(Table1[Mental_Health_Score])</f>
        <v>6.2269503546099294</v>
      </c>
    </row>
    <row r="305" spans="1:22" x14ac:dyDescent="0.3">
      <c r="A305">
        <v>304</v>
      </c>
      <c r="B305">
        <v>22</v>
      </c>
      <c r="C305" t="s">
        <v>18</v>
      </c>
      <c r="D305" t="s">
        <v>19</v>
      </c>
      <c r="E305" t="s">
        <v>33</v>
      </c>
      <c r="F305">
        <v>3.3</v>
      </c>
      <c r="G305" t="s">
        <v>31</v>
      </c>
      <c r="H305" t="s">
        <v>22</v>
      </c>
      <c r="I305">
        <v>8.1999999999999993</v>
      </c>
      <c r="J305">
        <v>8</v>
      </c>
      <c r="K305" t="s">
        <v>17</v>
      </c>
      <c r="L305">
        <v>4</v>
      </c>
      <c r="M305" t="str">
        <f>IF(Table1[[#This Row],[Age]]&lt;=18,"Teen",IF(Table1[[#This Row],[Age]]&lt;=21,"Young Adult","Adult"))</f>
        <v>Adult</v>
      </c>
      <c r="N305" t="str">
        <f t="shared" si="20"/>
        <v>Moderate</v>
      </c>
      <c r="O305" t="str">
        <f t="shared" si="21"/>
        <v>Medium</v>
      </c>
      <c r="P305" t="str">
        <f t="shared" si="22"/>
        <v>Healthy</v>
      </c>
      <c r="Q305">
        <f t="shared" si="23"/>
        <v>0</v>
      </c>
      <c r="R305" t="str">
        <f t="shared" si="24"/>
        <v>Good</v>
      </c>
      <c r="S305">
        <f>COUNTIF('Students Social Media Addiction'!O:O,"High")/COUNTA(Table1[Student_ID])</f>
        <v>0.5787234042553191</v>
      </c>
      <c r="T305">
        <f>AVERAGE(Table1[Academic Impact Flag])</f>
        <v>0.64255319148936174</v>
      </c>
      <c r="U305">
        <f>AVERAGE(Table1[Sleep_Hours_Per_Night])</f>
        <v>6.868936170212768</v>
      </c>
      <c r="V305">
        <f>AVERAGE(Table1[Mental_Health_Score])</f>
        <v>6.2269503546099294</v>
      </c>
    </row>
    <row r="306" spans="1:22" x14ac:dyDescent="0.3">
      <c r="A306">
        <v>305</v>
      </c>
      <c r="B306">
        <v>19</v>
      </c>
      <c r="C306" t="s">
        <v>12</v>
      </c>
      <c r="D306" t="s">
        <v>13</v>
      </c>
      <c r="E306" t="s">
        <v>37</v>
      </c>
      <c r="F306">
        <v>2.8</v>
      </c>
      <c r="G306" t="s">
        <v>139</v>
      </c>
      <c r="H306" t="s">
        <v>22</v>
      </c>
      <c r="I306">
        <v>8.8000000000000007</v>
      </c>
      <c r="J306">
        <v>8</v>
      </c>
      <c r="K306" t="s">
        <v>23</v>
      </c>
      <c r="L306">
        <v>3</v>
      </c>
      <c r="M306" t="str">
        <f>IF(Table1[[#This Row],[Age]]&lt;=18,"Teen",IF(Table1[[#This Row],[Age]]&lt;=21,"Young Adult","Adult"))</f>
        <v>Young Adult</v>
      </c>
      <c r="N306" t="str">
        <f t="shared" si="20"/>
        <v>Moderate</v>
      </c>
      <c r="O306" t="str">
        <f t="shared" si="21"/>
        <v>Low</v>
      </c>
      <c r="P306" t="str">
        <f t="shared" si="22"/>
        <v>Healthy</v>
      </c>
      <c r="Q306">
        <f t="shared" si="23"/>
        <v>0</v>
      </c>
      <c r="R306" t="str">
        <f t="shared" si="24"/>
        <v>Good</v>
      </c>
      <c r="S306">
        <f>COUNTIF('Students Social Media Addiction'!O:O,"High")/COUNTA(Table1[Student_ID])</f>
        <v>0.5787234042553191</v>
      </c>
      <c r="T306">
        <f>AVERAGE(Table1[Academic Impact Flag])</f>
        <v>0.64255319148936174</v>
      </c>
      <c r="U306">
        <f>AVERAGE(Table1[Sleep_Hours_Per_Night])</f>
        <v>6.868936170212768</v>
      </c>
      <c r="V306">
        <f>AVERAGE(Table1[Mental_Health_Score])</f>
        <v>6.2269503546099294</v>
      </c>
    </row>
    <row r="307" spans="1:22" x14ac:dyDescent="0.3">
      <c r="A307">
        <v>306</v>
      </c>
      <c r="B307">
        <v>21</v>
      </c>
      <c r="C307" t="s">
        <v>18</v>
      </c>
      <c r="D307" t="s">
        <v>19</v>
      </c>
      <c r="E307" t="s">
        <v>41</v>
      </c>
      <c r="F307">
        <v>5</v>
      </c>
      <c r="G307" t="s">
        <v>15</v>
      </c>
      <c r="H307" t="s">
        <v>16</v>
      </c>
      <c r="I307">
        <v>7.1</v>
      </c>
      <c r="J307">
        <v>5</v>
      </c>
      <c r="K307" t="s">
        <v>23</v>
      </c>
      <c r="L307">
        <v>7</v>
      </c>
      <c r="M307" t="str">
        <f>IF(Table1[[#This Row],[Age]]&lt;=18,"Teen",IF(Table1[[#This Row],[Age]]&lt;=21,"Young Adult","Adult"))</f>
        <v>Young Adult</v>
      </c>
      <c r="N307" t="str">
        <f t="shared" si="20"/>
        <v>High</v>
      </c>
      <c r="O307" t="str">
        <f t="shared" si="21"/>
        <v>High</v>
      </c>
      <c r="P307" t="str">
        <f t="shared" si="22"/>
        <v>Healthy</v>
      </c>
      <c r="Q307">
        <f t="shared" si="23"/>
        <v>1</v>
      </c>
      <c r="R307" t="str">
        <f t="shared" si="24"/>
        <v>Average</v>
      </c>
      <c r="S307">
        <f>COUNTIF('Students Social Media Addiction'!O:O,"High")/COUNTA(Table1[Student_ID])</f>
        <v>0.5787234042553191</v>
      </c>
      <c r="T307">
        <f>AVERAGE(Table1[Academic Impact Flag])</f>
        <v>0.64255319148936174</v>
      </c>
      <c r="U307">
        <f>AVERAGE(Table1[Sleep_Hours_Per_Night])</f>
        <v>6.868936170212768</v>
      </c>
      <c r="V307">
        <f>AVERAGE(Table1[Mental_Health_Score])</f>
        <v>6.2269503546099294</v>
      </c>
    </row>
    <row r="308" spans="1:22" x14ac:dyDescent="0.3">
      <c r="A308">
        <v>307</v>
      </c>
      <c r="B308">
        <v>20</v>
      </c>
      <c r="C308" t="s">
        <v>12</v>
      </c>
      <c r="D308" t="s">
        <v>13</v>
      </c>
      <c r="E308" t="s">
        <v>38</v>
      </c>
      <c r="F308">
        <v>4.3</v>
      </c>
      <c r="G308" t="s">
        <v>140</v>
      </c>
      <c r="H308" t="s">
        <v>16</v>
      </c>
      <c r="I308">
        <v>7.5</v>
      </c>
      <c r="J308">
        <v>6</v>
      </c>
      <c r="K308" t="s">
        <v>17</v>
      </c>
      <c r="L308">
        <v>6</v>
      </c>
      <c r="M308" t="str">
        <f>IF(Table1[[#This Row],[Age]]&lt;=18,"Teen",IF(Table1[[#This Row],[Age]]&lt;=21,"Young Adult","Adult"))</f>
        <v>Young Adult</v>
      </c>
      <c r="N308" t="str">
        <f t="shared" si="20"/>
        <v>High</v>
      </c>
      <c r="O308" t="str">
        <f t="shared" si="21"/>
        <v>Medium</v>
      </c>
      <c r="P308" t="str">
        <f t="shared" si="22"/>
        <v>Healthy</v>
      </c>
      <c r="Q308">
        <f t="shared" si="23"/>
        <v>1</v>
      </c>
      <c r="R308" t="str">
        <f t="shared" si="24"/>
        <v>Average</v>
      </c>
      <c r="S308">
        <f>COUNTIF('Students Social Media Addiction'!O:O,"High")/COUNTA(Table1[Student_ID])</f>
        <v>0.5787234042553191</v>
      </c>
      <c r="T308">
        <f>AVERAGE(Table1[Academic Impact Flag])</f>
        <v>0.64255319148936174</v>
      </c>
      <c r="U308">
        <f>AVERAGE(Table1[Sleep_Hours_Per_Night])</f>
        <v>6.868936170212768</v>
      </c>
      <c r="V308">
        <f>AVERAGE(Table1[Mental_Health_Score])</f>
        <v>6.2269503546099294</v>
      </c>
    </row>
    <row r="309" spans="1:22" x14ac:dyDescent="0.3">
      <c r="A309">
        <v>308</v>
      </c>
      <c r="B309">
        <v>22</v>
      </c>
      <c r="C309" t="s">
        <v>18</v>
      </c>
      <c r="D309" t="s">
        <v>19</v>
      </c>
      <c r="E309" t="s">
        <v>43</v>
      </c>
      <c r="F309">
        <v>3.8</v>
      </c>
      <c r="G309" t="s">
        <v>141</v>
      </c>
      <c r="H309" t="s">
        <v>22</v>
      </c>
      <c r="I309">
        <v>8.1999999999999993</v>
      </c>
      <c r="J309">
        <v>7</v>
      </c>
      <c r="K309" t="s">
        <v>23</v>
      </c>
      <c r="L309">
        <v>5</v>
      </c>
      <c r="M309" t="str">
        <f>IF(Table1[[#This Row],[Age]]&lt;=18,"Teen",IF(Table1[[#This Row],[Age]]&lt;=21,"Young Adult","Adult"))</f>
        <v>Adult</v>
      </c>
      <c r="N309" t="str">
        <f t="shared" si="20"/>
        <v>Moderate</v>
      </c>
      <c r="O309" t="str">
        <f t="shared" si="21"/>
        <v>Medium</v>
      </c>
      <c r="P309" t="str">
        <f t="shared" si="22"/>
        <v>Healthy</v>
      </c>
      <c r="Q309">
        <f t="shared" si="23"/>
        <v>0</v>
      </c>
      <c r="R309" t="str">
        <f t="shared" si="24"/>
        <v>Good</v>
      </c>
      <c r="S309">
        <f>COUNTIF('Students Social Media Addiction'!O:O,"High")/COUNTA(Table1[Student_ID])</f>
        <v>0.5787234042553191</v>
      </c>
      <c r="T309">
        <f>AVERAGE(Table1[Academic Impact Flag])</f>
        <v>0.64255319148936174</v>
      </c>
      <c r="U309">
        <f>AVERAGE(Table1[Sleep_Hours_Per_Night])</f>
        <v>6.868936170212768</v>
      </c>
      <c r="V309">
        <f>AVERAGE(Table1[Mental_Health_Score])</f>
        <v>6.2269503546099294</v>
      </c>
    </row>
    <row r="310" spans="1:22" x14ac:dyDescent="0.3">
      <c r="A310">
        <v>309</v>
      </c>
      <c r="B310">
        <v>19</v>
      </c>
      <c r="C310" t="s">
        <v>12</v>
      </c>
      <c r="D310" t="s">
        <v>13</v>
      </c>
      <c r="E310" t="s">
        <v>24</v>
      </c>
      <c r="F310">
        <v>7</v>
      </c>
      <c r="G310" t="s">
        <v>25</v>
      </c>
      <c r="H310" t="s">
        <v>16</v>
      </c>
      <c r="I310">
        <v>5.0999999999999996</v>
      </c>
      <c r="J310">
        <v>4</v>
      </c>
      <c r="K310" t="s">
        <v>17</v>
      </c>
      <c r="L310">
        <v>9</v>
      </c>
      <c r="M310" t="str">
        <f>IF(Table1[[#This Row],[Age]]&lt;=18,"Teen",IF(Table1[[#This Row],[Age]]&lt;=21,"Young Adult","Adult"))</f>
        <v>Young Adult</v>
      </c>
      <c r="N310" t="str">
        <f t="shared" si="20"/>
        <v>Very High</v>
      </c>
      <c r="O310" t="str">
        <f t="shared" si="21"/>
        <v>High</v>
      </c>
      <c r="P310" t="str">
        <f t="shared" si="22"/>
        <v>Poor</v>
      </c>
      <c r="Q310">
        <f t="shared" si="23"/>
        <v>1</v>
      </c>
      <c r="R310" t="str">
        <f t="shared" si="24"/>
        <v>Poor</v>
      </c>
      <c r="S310">
        <f>COUNTIF('Students Social Media Addiction'!O:O,"High")/COUNTA(Table1[Student_ID])</f>
        <v>0.5787234042553191</v>
      </c>
      <c r="T310">
        <f>AVERAGE(Table1[Academic Impact Flag])</f>
        <v>0.64255319148936174</v>
      </c>
      <c r="U310">
        <f>AVERAGE(Table1[Sleep_Hours_Per_Night])</f>
        <v>6.868936170212768</v>
      </c>
      <c r="V310">
        <f>AVERAGE(Table1[Mental_Health_Score])</f>
        <v>6.2269503546099294</v>
      </c>
    </row>
    <row r="311" spans="1:22" x14ac:dyDescent="0.3">
      <c r="A311">
        <v>310</v>
      </c>
      <c r="B311">
        <v>21</v>
      </c>
      <c r="C311" t="s">
        <v>18</v>
      </c>
      <c r="D311" t="s">
        <v>19</v>
      </c>
      <c r="E311" t="s">
        <v>28</v>
      </c>
      <c r="F311">
        <v>4.7</v>
      </c>
      <c r="G311" t="s">
        <v>15</v>
      </c>
      <c r="H311" t="s">
        <v>16</v>
      </c>
      <c r="I311">
        <v>6.9</v>
      </c>
      <c r="J311">
        <v>6</v>
      </c>
      <c r="K311" t="s">
        <v>23</v>
      </c>
      <c r="L311">
        <v>7</v>
      </c>
      <c r="M311" t="str">
        <f>IF(Table1[[#This Row],[Age]]&lt;=18,"Teen",IF(Table1[[#This Row],[Age]]&lt;=21,"Young Adult","Adult"))</f>
        <v>Young Adult</v>
      </c>
      <c r="N311" t="str">
        <f t="shared" si="20"/>
        <v>High</v>
      </c>
      <c r="O311" t="str">
        <f t="shared" si="21"/>
        <v>High</v>
      </c>
      <c r="P311" t="str">
        <f t="shared" si="22"/>
        <v>Average</v>
      </c>
      <c r="Q311">
        <f t="shared" si="23"/>
        <v>1</v>
      </c>
      <c r="R311" t="str">
        <f t="shared" si="24"/>
        <v>Average</v>
      </c>
      <c r="S311">
        <f>COUNTIF('Students Social Media Addiction'!O:O,"High")/COUNTA(Table1[Student_ID])</f>
        <v>0.5787234042553191</v>
      </c>
      <c r="T311">
        <f>AVERAGE(Table1[Academic Impact Flag])</f>
        <v>0.64255319148936174</v>
      </c>
      <c r="U311">
        <f>AVERAGE(Table1[Sleep_Hours_Per_Night])</f>
        <v>6.868936170212768</v>
      </c>
      <c r="V311">
        <f>AVERAGE(Table1[Mental_Health_Score])</f>
        <v>6.2269503546099294</v>
      </c>
    </row>
    <row r="312" spans="1:22" x14ac:dyDescent="0.3">
      <c r="A312">
        <v>311</v>
      </c>
      <c r="B312">
        <v>20</v>
      </c>
      <c r="C312" t="s">
        <v>12</v>
      </c>
      <c r="D312" t="s">
        <v>13</v>
      </c>
      <c r="E312" t="s">
        <v>32</v>
      </c>
      <c r="F312">
        <v>4</v>
      </c>
      <c r="G312" t="s">
        <v>31</v>
      </c>
      <c r="H312" t="s">
        <v>22</v>
      </c>
      <c r="I312">
        <v>7.8</v>
      </c>
      <c r="J312">
        <v>7</v>
      </c>
      <c r="K312" t="s">
        <v>17</v>
      </c>
      <c r="L312">
        <v>5</v>
      </c>
      <c r="M312" t="str">
        <f>IF(Table1[[#This Row],[Age]]&lt;=18,"Teen",IF(Table1[[#This Row],[Age]]&lt;=21,"Young Adult","Adult"))</f>
        <v>Young Adult</v>
      </c>
      <c r="N312" t="str">
        <f t="shared" si="20"/>
        <v>High</v>
      </c>
      <c r="O312" t="str">
        <f t="shared" si="21"/>
        <v>Medium</v>
      </c>
      <c r="P312" t="str">
        <f t="shared" si="22"/>
        <v>Healthy</v>
      </c>
      <c r="Q312">
        <f t="shared" si="23"/>
        <v>0</v>
      </c>
      <c r="R312" t="str">
        <f t="shared" si="24"/>
        <v>Good</v>
      </c>
      <c r="S312">
        <f>COUNTIF('Students Social Media Addiction'!O:O,"High")/COUNTA(Table1[Student_ID])</f>
        <v>0.5787234042553191</v>
      </c>
      <c r="T312">
        <f>AVERAGE(Table1[Academic Impact Flag])</f>
        <v>0.64255319148936174</v>
      </c>
      <c r="U312">
        <f>AVERAGE(Table1[Sleep_Hours_Per_Night])</f>
        <v>6.868936170212768</v>
      </c>
      <c r="V312">
        <f>AVERAGE(Table1[Mental_Health_Score])</f>
        <v>6.2269503546099294</v>
      </c>
    </row>
    <row r="313" spans="1:22" x14ac:dyDescent="0.3">
      <c r="A313">
        <v>312</v>
      </c>
      <c r="B313">
        <v>22</v>
      </c>
      <c r="C313" t="s">
        <v>18</v>
      </c>
      <c r="D313" t="s">
        <v>19</v>
      </c>
      <c r="E313" t="s">
        <v>33</v>
      </c>
      <c r="F313">
        <v>3.2</v>
      </c>
      <c r="G313" t="s">
        <v>15</v>
      </c>
      <c r="H313" t="s">
        <v>22</v>
      </c>
      <c r="I313">
        <v>8.3000000000000007</v>
      </c>
      <c r="J313">
        <v>8</v>
      </c>
      <c r="K313" t="s">
        <v>23</v>
      </c>
      <c r="L313">
        <v>4</v>
      </c>
      <c r="M313" t="str">
        <f>IF(Table1[[#This Row],[Age]]&lt;=18,"Teen",IF(Table1[[#This Row],[Age]]&lt;=21,"Young Adult","Adult"))</f>
        <v>Adult</v>
      </c>
      <c r="N313" t="str">
        <f t="shared" si="20"/>
        <v>Moderate</v>
      </c>
      <c r="O313" t="str">
        <f t="shared" si="21"/>
        <v>Medium</v>
      </c>
      <c r="P313" t="str">
        <f t="shared" si="22"/>
        <v>Healthy</v>
      </c>
      <c r="Q313">
        <f t="shared" si="23"/>
        <v>0</v>
      </c>
      <c r="R313" t="str">
        <f t="shared" si="24"/>
        <v>Good</v>
      </c>
      <c r="S313">
        <f>COUNTIF('Students Social Media Addiction'!O:O,"High")/COUNTA(Table1[Student_ID])</f>
        <v>0.5787234042553191</v>
      </c>
      <c r="T313">
        <f>AVERAGE(Table1[Academic Impact Flag])</f>
        <v>0.64255319148936174</v>
      </c>
      <c r="U313">
        <f>AVERAGE(Table1[Sleep_Hours_Per_Night])</f>
        <v>6.868936170212768</v>
      </c>
      <c r="V313">
        <f>AVERAGE(Table1[Mental_Health_Score])</f>
        <v>6.2269503546099294</v>
      </c>
    </row>
    <row r="314" spans="1:22" x14ac:dyDescent="0.3">
      <c r="A314">
        <v>313</v>
      </c>
      <c r="B314">
        <v>19</v>
      </c>
      <c r="C314" t="s">
        <v>12</v>
      </c>
      <c r="D314" t="s">
        <v>13</v>
      </c>
      <c r="E314" t="s">
        <v>37</v>
      </c>
      <c r="F314">
        <v>2.7</v>
      </c>
      <c r="G314" t="s">
        <v>139</v>
      </c>
      <c r="H314" t="s">
        <v>22</v>
      </c>
      <c r="I314">
        <v>8.9</v>
      </c>
      <c r="J314">
        <v>8</v>
      </c>
      <c r="K314" t="s">
        <v>23</v>
      </c>
      <c r="L314">
        <v>3</v>
      </c>
      <c r="M314" t="str">
        <f>IF(Table1[[#This Row],[Age]]&lt;=18,"Teen",IF(Table1[[#This Row],[Age]]&lt;=21,"Young Adult","Adult"))</f>
        <v>Young Adult</v>
      </c>
      <c r="N314" t="str">
        <f t="shared" si="20"/>
        <v>Moderate</v>
      </c>
      <c r="O314" t="str">
        <f t="shared" si="21"/>
        <v>Low</v>
      </c>
      <c r="P314" t="str">
        <f t="shared" si="22"/>
        <v>Healthy</v>
      </c>
      <c r="Q314">
        <f t="shared" si="23"/>
        <v>0</v>
      </c>
      <c r="R314" t="str">
        <f t="shared" si="24"/>
        <v>Good</v>
      </c>
      <c r="S314">
        <f>COUNTIF('Students Social Media Addiction'!O:O,"High")/COUNTA(Table1[Student_ID])</f>
        <v>0.5787234042553191</v>
      </c>
      <c r="T314">
        <f>AVERAGE(Table1[Academic Impact Flag])</f>
        <v>0.64255319148936174</v>
      </c>
      <c r="U314">
        <f>AVERAGE(Table1[Sleep_Hours_Per_Night])</f>
        <v>6.868936170212768</v>
      </c>
      <c r="V314">
        <f>AVERAGE(Table1[Mental_Health_Score])</f>
        <v>6.2269503546099294</v>
      </c>
    </row>
    <row r="315" spans="1:22" x14ac:dyDescent="0.3">
      <c r="A315">
        <v>314</v>
      </c>
      <c r="B315">
        <v>21</v>
      </c>
      <c r="C315" t="s">
        <v>18</v>
      </c>
      <c r="D315" t="s">
        <v>19</v>
      </c>
      <c r="E315" t="s">
        <v>41</v>
      </c>
      <c r="F315">
        <v>4.9000000000000004</v>
      </c>
      <c r="G315" t="s">
        <v>25</v>
      </c>
      <c r="H315" t="s">
        <v>16</v>
      </c>
      <c r="I315">
        <v>7.2</v>
      </c>
      <c r="J315">
        <v>5</v>
      </c>
      <c r="K315" t="s">
        <v>17</v>
      </c>
      <c r="L315">
        <v>8</v>
      </c>
      <c r="M315" t="str">
        <f>IF(Table1[[#This Row],[Age]]&lt;=18,"Teen",IF(Table1[[#This Row],[Age]]&lt;=21,"Young Adult","Adult"))</f>
        <v>Young Adult</v>
      </c>
      <c r="N315" t="str">
        <f t="shared" si="20"/>
        <v>High</v>
      </c>
      <c r="O315" t="str">
        <f t="shared" si="21"/>
        <v>High</v>
      </c>
      <c r="P315" t="str">
        <f t="shared" si="22"/>
        <v>Healthy</v>
      </c>
      <c r="Q315">
        <f t="shared" si="23"/>
        <v>1</v>
      </c>
      <c r="R315" t="str">
        <f t="shared" si="24"/>
        <v>Average</v>
      </c>
      <c r="S315">
        <f>COUNTIF('Students Social Media Addiction'!O:O,"High")/COUNTA(Table1[Student_ID])</f>
        <v>0.5787234042553191</v>
      </c>
      <c r="T315">
        <f>AVERAGE(Table1[Academic Impact Flag])</f>
        <v>0.64255319148936174</v>
      </c>
      <c r="U315">
        <f>AVERAGE(Table1[Sleep_Hours_Per_Night])</f>
        <v>6.868936170212768</v>
      </c>
      <c r="V315">
        <f>AVERAGE(Table1[Mental_Health_Score])</f>
        <v>6.2269503546099294</v>
      </c>
    </row>
    <row r="316" spans="1:22" x14ac:dyDescent="0.3">
      <c r="A316">
        <v>315</v>
      </c>
      <c r="B316">
        <v>20</v>
      </c>
      <c r="C316" t="s">
        <v>12</v>
      </c>
      <c r="D316" t="s">
        <v>13</v>
      </c>
      <c r="E316" t="s">
        <v>38</v>
      </c>
      <c r="F316">
        <v>4.2</v>
      </c>
      <c r="G316" t="s">
        <v>140</v>
      </c>
      <c r="H316" t="s">
        <v>16</v>
      </c>
      <c r="I316">
        <v>7.6</v>
      </c>
      <c r="J316">
        <v>6</v>
      </c>
      <c r="K316" t="s">
        <v>23</v>
      </c>
      <c r="L316">
        <v>6</v>
      </c>
      <c r="M316" t="str">
        <f>IF(Table1[[#This Row],[Age]]&lt;=18,"Teen",IF(Table1[[#This Row],[Age]]&lt;=21,"Young Adult","Adult"))</f>
        <v>Young Adult</v>
      </c>
      <c r="N316" t="str">
        <f t="shared" si="20"/>
        <v>High</v>
      </c>
      <c r="O316" t="str">
        <f t="shared" si="21"/>
        <v>Medium</v>
      </c>
      <c r="P316" t="str">
        <f t="shared" si="22"/>
        <v>Healthy</v>
      </c>
      <c r="Q316">
        <f t="shared" si="23"/>
        <v>1</v>
      </c>
      <c r="R316" t="str">
        <f t="shared" si="24"/>
        <v>Average</v>
      </c>
      <c r="S316">
        <f>COUNTIF('Students Social Media Addiction'!O:O,"High")/COUNTA(Table1[Student_ID])</f>
        <v>0.5787234042553191</v>
      </c>
      <c r="T316">
        <f>AVERAGE(Table1[Academic Impact Flag])</f>
        <v>0.64255319148936174</v>
      </c>
      <c r="U316">
        <f>AVERAGE(Table1[Sleep_Hours_Per_Night])</f>
        <v>6.868936170212768</v>
      </c>
      <c r="V316">
        <f>AVERAGE(Table1[Mental_Health_Score])</f>
        <v>6.2269503546099294</v>
      </c>
    </row>
    <row r="317" spans="1:22" x14ac:dyDescent="0.3">
      <c r="A317">
        <v>316</v>
      </c>
      <c r="B317">
        <v>22</v>
      </c>
      <c r="C317" t="s">
        <v>18</v>
      </c>
      <c r="D317" t="s">
        <v>19</v>
      </c>
      <c r="E317" t="s">
        <v>43</v>
      </c>
      <c r="F317">
        <v>3.7</v>
      </c>
      <c r="G317" t="s">
        <v>141</v>
      </c>
      <c r="H317" t="s">
        <v>22</v>
      </c>
      <c r="I317">
        <v>8.3000000000000007</v>
      </c>
      <c r="J317">
        <v>7</v>
      </c>
      <c r="K317" t="s">
        <v>17</v>
      </c>
      <c r="L317">
        <v>5</v>
      </c>
      <c r="M317" t="str">
        <f>IF(Table1[[#This Row],[Age]]&lt;=18,"Teen",IF(Table1[[#This Row],[Age]]&lt;=21,"Young Adult","Adult"))</f>
        <v>Adult</v>
      </c>
      <c r="N317" t="str">
        <f t="shared" si="20"/>
        <v>Moderate</v>
      </c>
      <c r="O317" t="str">
        <f t="shared" si="21"/>
        <v>Medium</v>
      </c>
      <c r="P317" t="str">
        <f t="shared" si="22"/>
        <v>Healthy</v>
      </c>
      <c r="Q317">
        <f t="shared" si="23"/>
        <v>0</v>
      </c>
      <c r="R317" t="str">
        <f t="shared" si="24"/>
        <v>Good</v>
      </c>
      <c r="S317">
        <f>COUNTIF('Students Social Media Addiction'!O:O,"High")/COUNTA(Table1[Student_ID])</f>
        <v>0.5787234042553191</v>
      </c>
      <c r="T317">
        <f>AVERAGE(Table1[Academic Impact Flag])</f>
        <v>0.64255319148936174</v>
      </c>
      <c r="U317">
        <f>AVERAGE(Table1[Sleep_Hours_Per_Night])</f>
        <v>6.868936170212768</v>
      </c>
      <c r="V317">
        <f>AVERAGE(Table1[Mental_Health_Score])</f>
        <v>6.2269503546099294</v>
      </c>
    </row>
    <row r="318" spans="1:22" x14ac:dyDescent="0.3">
      <c r="A318">
        <v>317</v>
      </c>
      <c r="B318">
        <v>19</v>
      </c>
      <c r="C318" t="s">
        <v>12</v>
      </c>
      <c r="D318" t="s">
        <v>13</v>
      </c>
      <c r="E318" t="s">
        <v>24</v>
      </c>
      <c r="F318">
        <v>7.1</v>
      </c>
      <c r="G318" t="s">
        <v>15</v>
      </c>
      <c r="H318" t="s">
        <v>16</v>
      </c>
      <c r="I318">
        <v>5</v>
      </c>
      <c r="J318">
        <v>4</v>
      </c>
      <c r="K318" t="s">
        <v>23</v>
      </c>
      <c r="L318">
        <v>9</v>
      </c>
      <c r="M318" t="str">
        <f>IF(Table1[[#This Row],[Age]]&lt;=18,"Teen",IF(Table1[[#This Row],[Age]]&lt;=21,"Young Adult","Adult"))</f>
        <v>Young Adult</v>
      </c>
      <c r="N318" t="str">
        <f t="shared" si="20"/>
        <v>Very High</v>
      </c>
      <c r="O318" t="str">
        <f t="shared" si="21"/>
        <v>High</v>
      </c>
      <c r="P318" t="str">
        <f t="shared" si="22"/>
        <v>Poor</v>
      </c>
      <c r="Q318">
        <f t="shared" si="23"/>
        <v>1</v>
      </c>
      <c r="R318" t="str">
        <f t="shared" si="24"/>
        <v>Poor</v>
      </c>
      <c r="S318">
        <f>COUNTIF('Students Social Media Addiction'!O:O,"High")/COUNTA(Table1[Student_ID])</f>
        <v>0.5787234042553191</v>
      </c>
      <c r="T318">
        <f>AVERAGE(Table1[Academic Impact Flag])</f>
        <v>0.64255319148936174</v>
      </c>
      <c r="U318">
        <f>AVERAGE(Table1[Sleep_Hours_Per_Night])</f>
        <v>6.868936170212768</v>
      </c>
      <c r="V318">
        <f>AVERAGE(Table1[Mental_Health_Score])</f>
        <v>6.2269503546099294</v>
      </c>
    </row>
    <row r="319" spans="1:22" x14ac:dyDescent="0.3">
      <c r="A319">
        <v>318</v>
      </c>
      <c r="B319">
        <v>21</v>
      </c>
      <c r="C319" t="s">
        <v>18</v>
      </c>
      <c r="D319" t="s">
        <v>19</v>
      </c>
      <c r="E319" t="s">
        <v>28</v>
      </c>
      <c r="F319">
        <v>4.5999999999999996</v>
      </c>
      <c r="G319" t="s">
        <v>31</v>
      </c>
      <c r="H319" t="s">
        <v>16</v>
      </c>
      <c r="I319">
        <v>7</v>
      </c>
      <c r="J319">
        <v>6</v>
      </c>
      <c r="K319" t="s">
        <v>17</v>
      </c>
      <c r="L319">
        <v>7</v>
      </c>
      <c r="M319" t="str">
        <f>IF(Table1[[#This Row],[Age]]&lt;=18,"Teen",IF(Table1[[#This Row],[Age]]&lt;=21,"Young Adult","Adult"))</f>
        <v>Young Adult</v>
      </c>
      <c r="N319" t="str">
        <f t="shared" si="20"/>
        <v>High</v>
      </c>
      <c r="O319" t="str">
        <f t="shared" si="21"/>
        <v>High</v>
      </c>
      <c r="P319" t="str">
        <f t="shared" si="22"/>
        <v>Average</v>
      </c>
      <c r="Q319">
        <f t="shared" si="23"/>
        <v>1</v>
      </c>
      <c r="R319" t="str">
        <f t="shared" si="24"/>
        <v>Average</v>
      </c>
      <c r="S319">
        <f>COUNTIF('Students Social Media Addiction'!O:O,"High")/COUNTA(Table1[Student_ID])</f>
        <v>0.5787234042553191</v>
      </c>
      <c r="T319">
        <f>AVERAGE(Table1[Academic Impact Flag])</f>
        <v>0.64255319148936174</v>
      </c>
      <c r="U319">
        <f>AVERAGE(Table1[Sleep_Hours_Per_Night])</f>
        <v>6.868936170212768</v>
      </c>
      <c r="V319">
        <f>AVERAGE(Table1[Mental_Health_Score])</f>
        <v>6.2269503546099294</v>
      </c>
    </row>
    <row r="320" spans="1:22" x14ac:dyDescent="0.3">
      <c r="A320">
        <v>319</v>
      </c>
      <c r="B320">
        <v>20</v>
      </c>
      <c r="C320" t="s">
        <v>12</v>
      </c>
      <c r="D320" t="s">
        <v>13</v>
      </c>
      <c r="E320" t="s">
        <v>32</v>
      </c>
      <c r="F320">
        <v>3.9</v>
      </c>
      <c r="G320" t="s">
        <v>15</v>
      </c>
      <c r="H320" t="s">
        <v>22</v>
      </c>
      <c r="I320">
        <v>7.9</v>
      </c>
      <c r="J320">
        <v>7</v>
      </c>
      <c r="K320" t="s">
        <v>23</v>
      </c>
      <c r="L320">
        <v>5</v>
      </c>
      <c r="M320" t="str">
        <f>IF(Table1[[#This Row],[Age]]&lt;=18,"Teen",IF(Table1[[#This Row],[Age]]&lt;=21,"Young Adult","Adult"))</f>
        <v>Young Adult</v>
      </c>
      <c r="N320" t="str">
        <f t="shared" si="20"/>
        <v>Moderate</v>
      </c>
      <c r="O320" t="str">
        <f t="shared" si="21"/>
        <v>Medium</v>
      </c>
      <c r="P320" t="str">
        <f t="shared" si="22"/>
        <v>Healthy</v>
      </c>
      <c r="Q320">
        <f t="shared" si="23"/>
        <v>0</v>
      </c>
      <c r="R320" t="str">
        <f t="shared" si="24"/>
        <v>Good</v>
      </c>
      <c r="S320">
        <f>COUNTIF('Students Social Media Addiction'!O:O,"High")/COUNTA(Table1[Student_ID])</f>
        <v>0.5787234042553191</v>
      </c>
      <c r="T320">
        <f>AVERAGE(Table1[Academic Impact Flag])</f>
        <v>0.64255319148936174</v>
      </c>
      <c r="U320">
        <f>AVERAGE(Table1[Sleep_Hours_Per_Night])</f>
        <v>6.868936170212768</v>
      </c>
      <c r="V320">
        <f>AVERAGE(Table1[Mental_Health_Score])</f>
        <v>6.2269503546099294</v>
      </c>
    </row>
    <row r="321" spans="1:22" x14ac:dyDescent="0.3">
      <c r="A321">
        <v>320</v>
      </c>
      <c r="B321">
        <v>22</v>
      </c>
      <c r="C321" t="s">
        <v>18</v>
      </c>
      <c r="D321" t="s">
        <v>19</v>
      </c>
      <c r="E321" t="s">
        <v>33</v>
      </c>
      <c r="F321">
        <v>3.1</v>
      </c>
      <c r="G321" t="s">
        <v>31</v>
      </c>
      <c r="H321" t="s">
        <v>22</v>
      </c>
      <c r="I321">
        <v>8.4</v>
      </c>
      <c r="J321">
        <v>8</v>
      </c>
      <c r="K321" t="s">
        <v>17</v>
      </c>
      <c r="L321">
        <v>4</v>
      </c>
      <c r="M321" t="str">
        <f>IF(Table1[[#This Row],[Age]]&lt;=18,"Teen",IF(Table1[[#This Row],[Age]]&lt;=21,"Young Adult","Adult"))</f>
        <v>Adult</v>
      </c>
      <c r="N321" t="str">
        <f t="shared" si="20"/>
        <v>Moderate</v>
      </c>
      <c r="O321" t="str">
        <f t="shared" si="21"/>
        <v>Medium</v>
      </c>
      <c r="P321" t="str">
        <f t="shared" si="22"/>
        <v>Healthy</v>
      </c>
      <c r="Q321">
        <f t="shared" si="23"/>
        <v>0</v>
      </c>
      <c r="R321" t="str">
        <f t="shared" si="24"/>
        <v>Good</v>
      </c>
      <c r="S321">
        <f>COUNTIF('Students Social Media Addiction'!O:O,"High")/COUNTA(Table1[Student_ID])</f>
        <v>0.5787234042553191</v>
      </c>
      <c r="T321">
        <f>AVERAGE(Table1[Academic Impact Flag])</f>
        <v>0.64255319148936174</v>
      </c>
      <c r="U321">
        <f>AVERAGE(Table1[Sleep_Hours_Per_Night])</f>
        <v>6.868936170212768</v>
      </c>
      <c r="V321">
        <f>AVERAGE(Table1[Mental_Health_Score])</f>
        <v>6.2269503546099294</v>
      </c>
    </row>
    <row r="322" spans="1:22" x14ac:dyDescent="0.3">
      <c r="A322">
        <v>321</v>
      </c>
      <c r="B322">
        <v>19</v>
      </c>
      <c r="C322" t="s">
        <v>12</v>
      </c>
      <c r="D322" t="s">
        <v>13</v>
      </c>
      <c r="E322" t="s">
        <v>40</v>
      </c>
      <c r="F322">
        <v>5.2</v>
      </c>
      <c r="G322" t="s">
        <v>15</v>
      </c>
      <c r="H322" t="s">
        <v>16</v>
      </c>
      <c r="I322">
        <v>6.8</v>
      </c>
      <c r="J322">
        <v>6</v>
      </c>
      <c r="K322" t="s">
        <v>23</v>
      </c>
      <c r="L322">
        <v>7</v>
      </c>
      <c r="M322" t="str">
        <f>IF(Table1[[#This Row],[Age]]&lt;=18,"Teen",IF(Table1[[#This Row],[Age]]&lt;=21,"Young Adult","Adult"))</f>
        <v>Young Adult</v>
      </c>
      <c r="N322" t="str">
        <f t="shared" ref="N322:N385" si="25">IF(F322&lt;2,"Low",
IF(F322&lt;4,"Moderate",
IF(F322&lt;6,"High","Very High")))</f>
        <v>High</v>
      </c>
      <c r="O322" t="str">
        <f t="shared" ref="O322:O385" si="26">IF(L322&lt;=3,"Low",
IF(L322&lt;=6,"Medium","High"))</f>
        <v>High</v>
      </c>
      <c r="P322" t="str">
        <f t="shared" ref="P322:P385" si="27">IF(I322&lt;6,"Poor",
IF(I322&lt;=7,"Average","Healthy"))</f>
        <v>Average</v>
      </c>
      <c r="Q322">
        <f t="shared" ref="Q322:Q385" si="28">IF(H322="Yes",1,0)</f>
        <v>1</v>
      </c>
      <c r="R322" t="str">
        <f t="shared" ref="R322:R385" si="29">IF(J322&lt;=4,"Poor",
IF(J322&lt;=6,"Average","Good"))</f>
        <v>Average</v>
      </c>
      <c r="S322">
        <f>COUNTIF('Students Social Media Addiction'!O:O,"High")/COUNTA(Table1[Student_ID])</f>
        <v>0.5787234042553191</v>
      </c>
      <c r="T322">
        <f>AVERAGE(Table1[Academic Impact Flag])</f>
        <v>0.64255319148936174</v>
      </c>
      <c r="U322">
        <f>AVERAGE(Table1[Sleep_Hours_Per_Night])</f>
        <v>6.868936170212768</v>
      </c>
      <c r="V322">
        <f>AVERAGE(Table1[Mental_Health_Score])</f>
        <v>6.2269503546099294</v>
      </c>
    </row>
    <row r="323" spans="1:22" x14ac:dyDescent="0.3">
      <c r="A323">
        <v>322</v>
      </c>
      <c r="B323">
        <v>21</v>
      </c>
      <c r="C323" t="s">
        <v>18</v>
      </c>
      <c r="D323" t="s">
        <v>19</v>
      </c>
      <c r="E323" t="s">
        <v>47</v>
      </c>
      <c r="F323">
        <v>4.0999999999999996</v>
      </c>
      <c r="G323" t="s">
        <v>31</v>
      </c>
      <c r="H323" t="s">
        <v>22</v>
      </c>
      <c r="I323">
        <v>7.8</v>
      </c>
      <c r="J323">
        <v>8</v>
      </c>
      <c r="K323" t="s">
        <v>17</v>
      </c>
      <c r="L323">
        <v>4</v>
      </c>
      <c r="M323" t="str">
        <f>IF(Table1[[#This Row],[Age]]&lt;=18,"Teen",IF(Table1[[#This Row],[Age]]&lt;=21,"Young Adult","Adult"))</f>
        <v>Young Adult</v>
      </c>
      <c r="N323" t="str">
        <f t="shared" si="25"/>
        <v>High</v>
      </c>
      <c r="O323" t="str">
        <f t="shared" si="26"/>
        <v>Medium</v>
      </c>
      <c r="P323" t="str">
        <f t="shared" si="27"/>
        <v>Healthy</v>
      </c>
      <c r="Q323">
        <f t="shared" si="28"/>
        <v>0</v>
      </c>
      <c r="R323" t="str">
        <f t="shared" si="29"/>
        <v>Good</v>
      </c>
      <c r="S323">
        <f>COUNTIF('Students Social Media Addiction'!O:O,"High")/COUNTA(Table1[Student_ID])</f>
        <v>0.5787234042553191</v>
      </c>
      <c r="T323">
        <f>AVERAGE(Table1[Academic Impact Flag])</f>
        <v>0.64255319148936174</v>
      </c>
      <c r="U323">
        <f>AVERAGE(Table1[Sleep_Hours_Per_Night])</f>
        <v>6.868936170212768</v>
      </c>
      <c r="V323">
        <f>AVERAGE(Table1[Mental_Health_Score])</f>
        <v>6.2269503546099294</v>
      </c>
    </row>
    <row r="324" spans="1:22" x14ac:dyDescent="0.3">
      <c r="A324">
        <v>323</v>
      </c>
      <c r="B324">
        <v>20</v>
      </c>
      <c r="C324" t="s">
        <v>12</v>
      </c>
      <c r="D324" t="s">
        <v>13</v>
      </c>
      <c r="E324" t="s">
        <v>54</v>
      </c>
      <c r="F324">
        <v>5</v>
      </c>
      <c r="G324" t="s">
        <v>15</v>
      </c>
      <c r="H324" t="s">
        <v>16</v>
      </c>
      <c r="I324">
        <v>7</v>
      </c>
      <c r="J324">
        <v>7</v>
      </c>
      <c r="K324" t="s">
        <v>23</v>
      </c>
      <c r="L324">
        <v>6</v>
      </c>
      <c r="M324" t="str">
        <f>IF(Table1[[#This Row],[Age]]&lt;=18,"Teen",IF(Table1[[#This Row],[Age]]&lt;=21,"Young Adult","Adult"))</f>
        <v>Young Adult</v>
      </c>
      <c r="N324" t="str">
        <f t="shared" si="25"/>
        <v>High</v>
      </c>
      <c r="O324" t="str">
        <f t="shared" si="26"/>
        <v>Medium</v>
      </c>
      <c r="P324" t="str">
        <f t="shared" si="27"/>
        <v>Average</v>
      </c>
      <c r="Q324">
        <f t="shared" si="28"/>
        <v>1</v>
      </c>
      <c r="R324" t="str">
        <f t="shared" si="29"/>
        <v>Good</v>
      </c>
      <c r="S324">
        <f>COUNTIF('Students Social Media Addiction'!O:O,"High")/COUNTA(Table1[Student_ID])</f>
        <v>0.5787234042553191</v>
      </c>
      <c r="T324">
        <f>AVERAGE(Table1[Academic Impact Flag])</f>
        <v>0.64255319148936174</v>
      </c>
      <c r="U324">
        <f>AVERAGE(Table1[Sleep_Hours_Per_Night])</f>
        <v>6.868936170212768</v>
      </c>
      <c r="V324">
        <f>AVERAGE(Table1[Mental_Health_Score])</f>
        <v>6.2269503546099294</v>
      </c>
    </row>
    <row r="325" spans="1:22" x14ac:dyDescent="0.3">
      <c r="A325">
        <v>324</v>
      </c>
      <c r="B325">
        <v>22</v>
      </c>
      <c r="C325" t="s">
        <v>18</v>
      </c>
      <c r="D325" t="s">
        <v>19</v>
      </c>
      <c r="E325" t="s">
        <v>20</v>
      </c>
      <c r="F325">
        <v>5.8</v>
      </c>
      <c r="G325" t="s">
        <v>142</v>
      </c>
      <c r="H325" t="s">
        <v>16</v>
      </c>
      <c r="I325">
        <v>6.5</v>
      </c>
      <c r="J325">
        <v>5</v>
      </c>
      <c r="K325" t="s">
        <v>17</v>
      </c>
      <c r="L325">
        <v>8</v>
      </c>
      <c r="M325" t="str">
        <f>IF(Table1[[#This Row],[Age]]&lt;=18,"Teen",IF(Table1[[#This Row],[Age]]&lt;=21,"Young Adult","Adult"))</f>
        <v>Adult</v>
      </c>
      <c r="N325" t="str">
        <f t="shared" si="25"/>
        <v>High</v>
      </c>
      <c r="O325" t="str">
        <f t="shared" si="26"/>
        <v>High</v>
      </c>
      <c r="P325" t="str">
        <f t="shared" si="27"/>
        <v>Average</v>
      </c>
      <c r="Q325">
        <f t="shared" si="28"/>
        <v>1</v>
      </c>
      <c r="R325" t="str">
        <f t="shared" si="29"/>
        <v>Average</v>
      </c>
      <c r="S325">
        <f>COUNTIF('Students Social Media Addiction'!O:O,"High")/COUNTA(Table1[Student_ID])</f>
        <v>0.5787234042553191</v>
      </c>
      <c r="T325">
        <f>AVERAGE(Table1[Academic Impact Flag])</f>
        <v>0.64255319148936174</v>
      </c>
      <c r="U325">
        <f>AVERAGE(Table1[Sleep_Hours_Per_Night])</f>
        <v>6.868936170212768</v>
      </c>
      <c r="V325">
        <f>AVERAGE(Table1[Mental_Health_Score])</f>
        <v>6.2269503546099294</v>
      </c>
    </row>
    <row r="326" spans="1:22" x14ac:dyDescent="0.3">
      <c r="A326">
        <v>325</v>
      </c>
      <c r="B326">
        <v>19</v>
      </c>
      <c r="C326" t="s">
        <v>12</v>
      </c>
      <c r="D326" t="s">
        <v>13</v>
      </c>
      <c r="E326" t="s">
        <v>50</v>
      </c>
      <c r="F326">
        <v>4</v>
      </c>
      <c r="G326" t="s">
        <v>15</v>
      </c>
      <c r="H326" t="s">
        <v>22</v>
      </c>
      <c r="I326">
        <v>7.9</v>
      </c>
      <c r="J326">
        <v>8</v>
      </c>
      <c r="K326" t="s">
        <v>23</v>
      </c>
      <c r="L326">
        <v>4</v>
      </c>
      <c r="M326" t="str">
        <f>IF(Table1[[#This Row],[Age]]&lt;=18,"Teen",IF(Table1[[#This Row],[Age]]&lt;=21,"Young Adult","Adult"))</f>
        <v>Young Adult</v>
      </c>
      <c r="N326" t="str">
        <f t="shared" si="25"/>
        <v>High</v>
      </c>
      <c r="O326" t="str">
        <f t="shared" si="26"/>
        <v>Medium</v>
      </c>
      <c r="P326" t="str">
        <f t="shared" si="27"/>
        <v>Healthy</v>
      </c>
      <c r="Q326">
        <f t="shared" si="28"/>
        <v>0</v>
      </c>
      <c r="R326" t="str">
        <f t="shared" si="29"/>
        <v>Good</v>
      </c>
      <c r="S326">
        <f>COUNTIF('Students Social Media Addiction'!O:O,"High")/COUNTA(Table1[Student_ID])</f>
        <v>0.5787234042553191</v>
      </c>
      <c r="T326">
        <f>AVERAGE(Table1[Academic Impact Flag])</f>
        <v>0.64255319148936174</v>
      </c>
      <c r="U326">
        <f>AVERAGE(Table1[Sleep_Hours_Per_Night])</f>
        <v>6.868936170212768</v>
      </c>
      <c r="V326">
        <f>AVERAGE(Table1[Mental_Health_Score])</f>
        <v>6.2269503546099294</v>
      </c>
    </row>
    <row r="327" spans="1:22" x14ac:dyDescent="0.3">
      <c r="A327">
        <v>326</v>
      </c>
      <c r="B327">
        <v>21</v>
      </c>
      <c r="C327" t="s">
        <v>18</v>
      </c>
      <c r="D327" t="s">
        <v>19</v>
      </c>
      <c r="E327" t="s">
        <v>64</v>
      </c>
      <c r="F327">
        <v>5.5</v>
      </c>
      <c r="G327" t="s">
        <v>15</v>
      </c>
      <c r="H327" t="s">
        <v>16</v>
      </c>
      <c r="I327">
        <v>6.7</v>
      </c>
      <c r="J327">
        <v>6</v>
      </c>
      <c r="K327" t="s">
        <v>23</v>
      </c>
      <c r="L327">
        <v>7</v>
      </c>
      <c r="M327" t="str">
        <f>IF(Table1[[#This Row],[Age]]&lt;=18,"Teen",IF(Table1[[#This Row],[Age]]&lt;=21,"Young Adult","Adult"))</f>
        <v>Young Adult</v>
      </c>
      <c r="N327" t="str">
        <f t="shared" si="25"/>
        <v>High</v>
      </c>
      <c r="O327" t="str">
        <f t="shared" si="26"/>
        <v>High</v>
      </c>
      <c r="P327" t="str">
        <f t="shared" si="27"/>
        <v>Average</v>
      </c>
      <c r="Q327">
        <f t="shared" si="28"/>
        <v>1</v>
      </c>
      <c r="R327" t="str">
        <f t="shared" si="29"/>
        <v>Average</v>
      </c>
      <c r="S327">
        <f>COUNTIF('Students Social Media Addiction'!O:O,"High")/COUNTA(Table1[Student_ID])</f>
        <v>0.5787234042553191</v>
      </c>
      <c r="T327">
        <f>AVERAGE(Table1[Academic Impact Flag])</f>
        <v>0.64255319148936174</v>
      </c>
      <c r="U327">
        <f>AVERAGE(Table1[Sleep_Hours_Per_Night])</f>
        <v>6.868936170212768</v>
      </c>
      <c r="V327">
        <f>AVERAGE(Table1[Mental_Health_Score])</f>
        <v>6.2269503546099294</v>
      </c>
    </row>
    <row r="328" spans="1:22" x14ac:dyDescent="0.3">
      <c r="A328">
        <v>327</v>
      </c>
      <c r="B328">
        <v>20</v>
      </c>
      <c r="C328" t="s">
        <v>12</v>
      </c>
      <c r="D328" t="s">
        <v>13</v>
      </c>
      <c r="E328" t="s">
        <v>24</v>
      </c>
      <c r="F328">
        <v>6.8</v>
      </c>
      <c r="G328" t="s">
        <v>25</v>
      </c>
      <c r="H328" t="s">
        <v>16</v>
      </c>
      <c r="I328">
        <v>5.5</v>
      </c>
      <c r="J328">
        <v>5</v>
      </c>
      <c r="K328" t="s">
        <v>17</v>
      </c>
      <c r="L328">
        <v>9</v>
      </c>
      <c r="M328" t="str">
        <f>IF(Table1[[#This Row],[Age]]&lt;=18,"Teen",IF(Table1[[#This Row],[Age]]&lt;=21,"Young Adult","Adult"))</f>
        <v>Young Adult</v>
      </c>
      <c r="N328" t="str">
        <f t="shared" si="25"/>
        <v>Very High</v>
      </c>
      <c r="O328" t="str">
        <f t="shared" si="26"/>
        <v>High</v>
      </c>
      <c r="P328" t="str">
        <f t="shared" si="27"/>
        <v>Poor</v>
      </c>
      <c r="Q328">
        <f t="shared" si="28"/>
        <v>1</v>
      </c>
      <c r="R328" t="str">
        <f t="shared" si="29"/>
        <v>Average</v>
      </c>
      <c r="S328">
        <f>COUNTIF('Students Social Media Addiction'!O:O,"High")/COUNTA(Table1[Student_ID])</f>
        <v>0.5787234042553191</v>
      </c>
      <c r="T328">
        <f>AVERAGE(Table1[Academic Impact Flag])</f>
        <v>0.64255319148936174</v>
      </c>
      <c r="U328">
        <f>AVERAGE(Table1[Sleep_Hours_Per_Night])</f>
        <v>6.868936170212768</v>
      </c>
      <c r="V328">
        <f>AVERAGE(Table1[Mental_Health_Score])</f>
        <v>6.2269503546099294</v>
      </c>
    </row>
    <row r="329" spans="1:22" x14ac:dyDescent="0.3">
      <c r="A329">
        <v>328</v>
      </c>
      <c r="B329">
        <v>22</v>
      </c>
      <c r="C329" t="s">
        <v>18</v>
      </c>
      <c r="D329" t="s">
        <v>19</v>
      </c>
      <c r="E329" t="s">
        <v>42</v>
      </c>
      <c r="F329">
        <v>5.6</v>
      </c>
      <c r="G329" t="s">
        <v>142</v>
      </c>
      <c r="H329" t="s">
        <v>16</v>
      </c>
      <c r="I329">
        <v>6.6</v>
      </c>
      <c r="J329">
        <v>6</v>
      </c>
      <c r="K329" t="s">
        <v>23</v>
      </c>
      <c r="L329">
        <v>7</v>
      </c>
      <c r="M329" t="str">
        <f>IF(Table1[[#This Row],[Age]]&lt;=18,"Teen",IF(Table1[[#This Row],[Age]]&lt;=21,"Young Adult","Adult"))</f>
        <v>Adult</v>
      </c>
      <c r="N329" t="str">
        <f t="shared" si="25"/>
        <v>High</v>
      </c>
      <c r="O329" t="str">
        <f t="shared" si="26"/>
        <v>High</v>
      </c>
      <c r="P329" t="str">
        <f t="shared" si="27"/>
        <v>Average</v>
      </c>
      <c r="Q329">
        <f t="shared" si="28"/>
        <v>1</v>
      </c>
      <c r="R329" t="str">
        <f t="shared" si="29"/>
        <v>Average</v>
      </c>
      <c r="S329">
        <f>COUNTIF('Students Social Media Addiction'!O:O,"High")/COUNTA(Table1[Student_ID])</f>
        <v>0.5787234042553191</v>
      </c>
      <c r="T329">
        <f>AVERAGE(Table1[Academic Impact Flag])</f>
        <v>0.64255319148936174</v>
      </c>
      <c r="U329">
        <f>AVERAGE(Table1[Sleep_Hours_Per_Night])</f>
        <v>6.868936170212768</v>
      </c>
      <c r="V329">
        <f>AVERAGE(Table1[Mental_Health_Score])</f>
        <v>6.2269503546099294</v>
      </c>
    </row>
    <row r="330" spans="1:22" x14ac:dyDescent="0.3">
      <c r="A330">
        <v>329</v>
      </c>
      <c r="B330">
        <v>19</v>
      </c>
      <c r="C330" t="s">
        <v>12</v>
      </c>
      <c r="D330" t="s">
        <v>13</v>
      </c>
      <c r="E330" t="s">
        <v>39</v>
      </c>
      <c r="F330">
        <v>4.5</v>
      </c>
      <c r="G330" t="s">
        <v>15</v>
      </c>
      <c r="H330" t="s">
        <v>22</v>
      </c>
      <c r="I330">
        <v>7.5</v>
      </c>
      <c r="J330">
        <v>7</v>
      </c>
      <c r="K330" t="s">
        <v>17</v>
      </c>
      <c r="L330">
        <v>5</v>
      </c>
      <c r="M330" t="str">
        <f>IF(Table1[[#This Row],[Age]]&lt;=18,"Teen",IF(Table1[[#This Row],[Age]]&lt;=21,"Young Adult","Adult"))</f>
        <v>Young Adult</v>
      </c>
      <c r="N330" t="str">
        <f t="shared" si="25"/>
        <v>High</v>
      </c>
      <c r="O330" t="str">
        <f t="shared" si="26"/>
        <v>Medium</v>
      </c>
      <c r="P330" t="str">
        <f t="shared" si="27"/>
        <v>Healthy</v>
      </c>
      <c r="Q330">
        <f t="shared" si="28"/>
        <v>0</v>
      </c>
      <c r="R330" t="str">
        <f t="shared" si="29"/>
        <v>Good</v>
      </c>
      <c r="S330">
        <f>COUNTIF('Students Social Media Addiction'!O:O,"High")/COUNTA(Table1[Student_ID])</f>
        <v>0.5787234042553191</v>
      </c>
      <c r="T330">
        <f>AVERAGE(Table1[Academic Impact Flag])</f>
        <v>0.64255319148936174</v>
      </c>
      <c r="U330">
        <f>AVERAGE(Table1[Sleep_Hours_Per_Night])</f>
        <v>6.868936170212768</v>
      </c>
      <c r="V330">
        <f>AVERAGE(Table1[Mental_Health_Score])</f>
        <v>6.2269503546099294</v>
      </c>
    </row>
    <row r="331" spans="1:22" x14ac:dyDescent="0.3">
      <c r="A331">
        <v>330</v>
      </c>
      <c r="B331">
        <v>21</v>
      </c>
      <c r="C331" t="s">
        <v>18</v>
      </c>
      <c r="D331" t="s">
        <v>19</v>
      </c>
      <c r="E331" t="s">
        <v>30</v>
      </c>
      <c r="F331">
        <v>5.3</v>
      </c>
      <c r="G331" t="s">
        <v>15</v>
      </c>
      <c r="H331" t="s">
        <v>16</v>
      </c>
      <c r="I331">
        <v>6.9</v>
      </c>
      <c r="J331">
        <v>6</v>
      </c>
      <c r="K331" t="s">
        <v>23</v>
      </c>
      <c r="L331">
        <v>7</v>
      </c>
      <c r="M331" t="str">
        <f>IF(Table1[[#This Row],[Age]]&lt;=18,"Teen",IF(Table1[[#This Row],[Age]]&lt;=21,"Young Adult","Adult"))</f>
        <v>Young Adult</v>
      </c>
      <c r="N331" t="str">
        <f t="shared" si="25"/>
        <v>High</v>
      </c>
      <c r="O331" t="str">
        <f t="shared" si="26"/>
        <v>High</v>
      </c>
      <c r="P331" t="str">
        <f t="shared" si="27"/>
        <v>Average</v>
      </c>
      <c r="Q331">
        <f t="shared" si="28"/>
        <v>1</v>
      </c>
      <c r="R331" t="str">
        <f t="shared" si="29"/>
        <v>Average</v>
      </c>
      <c r="S331">
        <f>COUNTIF('Students Social Media Addiction'!O:O,"High")/COUNTA(Table1[Student_ID])</f>
        <v>0.5787234042553191</v>
      </c>
      <c r="T331">
        <f>AVERAGE(Table1[Academic Impact Flag])</f>
        <v>0.64255319148936174</v>
      </c>
      <c r="U331">
        <f>AVERAGE(Table1[Sleep_Hours_Per_Night])</f>
        <v>6.868936170212768</v>
      </c>
      <c r="V331">
        <f>AVERAGE(Table1[Mental_Health_Score])</f>
        <v>6.2269503546099294</v>
      </c>
    </row>
    <row r="332" spans="1:22" x14ac:dyDescent="0.3">
      <c r="A332">
        <v>331</v>
      </c>
      <c r="B332">
        <v>20</v>
      </c>
      <c r="C332" t="s">
        <v>12</v>
      </c>
      <c r="D332" t="s">
        <v>13</v>
      </c>
      <c r="E332" t="s">
        <v>40</v>
      </c>
      <c r="F332">
        <v>5.0999999999999996</v>
      </c>
      <c r="G332" t="s">
        <v>25</v>
      </c>
      <c r="H332" t="s">
        <v>16</v>
      </c>
      <c r="I332">
        <v>6.7</v>
      </c>
      <c r="J332">
        <v>6</v>
      </c>
      <c r="K332" t="s">
        <v>23</v>
      </c>
      <c r="L332">
        <v>7</v>
      </c>
      <c r="M332" t="str">
        <f>IF(Table1[[#This Row],[Age]]&lt;=18,"Teen",IF(Table1[[#This Row],[Age]]&lt;=21,"Young Adult","Adult"))</f>
        <v>Young Adult</v>
      </c>
      <c r="N332" t="str">
        <f t="shared" si="25"/>
        <v>High</v>
      </c>
      <c r="O332" t="str">
        <f t="shared" si="26"/>
        <v>High</v>
      </c>
      <c r="P332" t="str">
        <f t="shared" si="27"/>
        <v>Average</v>
      </c>
      <c r="Q332">
        <f t="shared" si="28"/>
        <v>1</v>
      </c>
      <c r="R332" t="str">
        <f t="shared" si="29"/>
        <v>Average</v>
      </c>
      <c r="S332">
        <f>COUNTIF('Students Social Media Addiction'!O:O,"High")/COUNTA(Table1[Student_ID])</f>
        <v>0.5787234042553191</v>
      </c>
      <c r="T332">
        <f>AVERAGE(Table1[Academic Impact Flag])</f>
        <v>0.64255319148936174</v>
      </c>
      <c r="U332">
        <f>AVERAGE(Table1[Sleep_Hours_Per_Night])</f>
        <v>6.868936170212768</v>
      </c>
      <c r="V332">
        <f>AVERAGE(Table1[Mental_Health_Score])</f>
        <v>6.2269503546099294</v>
      </c>
    </row>
    <row r="333" spans="1:22" x14ac:dyDescent="0.3">
      <c r="A333">
        <v>332</v>
      </c>
      <c r="B333">
        <v>22</v>
      </c>
      <c r="C333" t="s">
        <v>18</v>
      </c>
      <c r="D333" t="s">
        <v>19</v>
      </c>
      <c r="E333" t="s">
        <v>47</v>
      </c>
      <c r="F333">
        <v>3.9</v>
      </c>
      <c r="G333" t="s">
        <v>31</v>
      </c>
      <c r="H333" t="s">
        <v>22</v>
      </c>
      <c r="I333">
        <v>7.9</v>
      </c>
      <c r="J333">
        <v>8</v>
      </c>
      <c r="K333" t="s">
        <v>17</v>
      </c>
      <c r="L333">
        <v>4</v>
      </c>
      <c r="M333" t="str">
        <f>IF(Table1[[#This Row],[Age]]&lt;=18,"Teen",IF(Table1[[#This Row],[Age]]&lt;=21,"Young Adult","Adult"))</f>
        <v>Adult</v>
      </c>
      <c r="N333" t="str">
        <f t="shared" si="25"/>
        <v>Moderate</v>
      </c>
      <c r="O333" t="str">
        <f t="shared" si="26"/>
        <v>Medium</v>
      </c>
      <c r="P333" t="str">
        <f t="shared" si="27"/>
        <v>Healthy</v>
      </c>
      <c r="Q333">
        <f t="shared" si="28"/>
        <v>0</v>
      </c>
      <c r="R333" t="str">
        <f t="shared" si="29"/>
        <v>Good</v>
      </c>
      <c r="S333">
        <f>COUNTIF('Students Social Media Addiction'!O:O,"High")/COUNTA(Table1[Student_ID])</f>
        <v>0.5787234042553191</v>
      </c>
      <c r="T333">
        <f>AVERAGE(Table1[Academic Impact Flag])</f>
        <v>0.64255319148936174</v>
      </c>
      <c r="U333">
        <f>AVERAGE(Table1[Sleep_Hours_Per_Night])</f>
        <v>6.868936170212768</v>
      </c>
      <c r="V333">
        <f>AVERAGE(Table1[Mental_Health_Score])</f>
        <v>6.2269503546099294</v>
      </c>
    </row>
    <row r="334" spans="1:22" x14ac:dyDescent="0.3">
      <c r="A334">
        <v>333</v>
      </c>
      <c r="B334">
        <v>19</v>
      </c>
      <c r="C334" t="s">
        <v>12</v>
      </c>
      <c r="D334" t="s">
        <v>13</v>
      </c>
      <c r="E334" t="s">
        <v>54</v>
      </c>
      <c r="F334">
        <v>4.8</v>
      </c>
      <c r="G334" t="s">
        <v>15</v>
      </c>
      <c r="H334" t="s">
        <v>16</v>
      </c>
      <c r="I334">
        <v>7.1</v>
      </c>
      <c r="J334">
        <v>7</v>
      </c>
      <c r="K334" t="s">
        <v>23</v>
      </c>
      <c r="L334">
        <v>6</v>
      </c>
      <c r="M334" t="str">
        <f>IF(Table1[[#This Row],[Age]]&lt;=18,"Teen",IF(Table1[[#This Row],[Age]]&lt;=21,"Young Adult","Adult"))</f>
        <v>Young Adult</v>
      </c>
      <c r="N334" t="str">
        <f t="shared" si="25"/>
        <v>High</v>
      </c>
      <c r="O334" t="str">
        <f t="shared" si="26"/>
        <v>Medium</v>
      </c>
      <c r="P334" t="str">
        <f t="shared" si="27"/>
        <v>Healthy</v>
      </c>
      <c r="Q334">
        <f t="shared" si="28"/>
        <v>1</v>
      </c>
      <c r="R334" t="str">
        <f t="shared" si="29"/>
        <v>Good</v>
      </c>
      <c r="S334">
        <f>COUNTIF('Students Social Media Addiction'!O:O,"High")/COUNTA(Table1[Student_ID])</f>
        <v>0.5787234042553191</v>
      </c>
      <c r="T334">
        <f>AVERAGE(Table1[Academic Impact Flag])</f>
        <v>0.64255319148936174</v>
      </c>
      <c r="U334">
        <f>AVERAGE(Table1[Sleep_Hours_Per_Night])</f>
        <v>6.868936170212768</v>
      </c>
      <c r="V334">
        <f>AVERAGE(Table1[Mental_Health_Score])</f>
        <v>6.2269503546099294</v>
      </c>
    </row>
    <row r="335" spans="1:22" x14ac:dyDescent="0.3">
      <c r="A335">
        <v>334</v>
      </c>
      <c r="B335">
        <v>21</v>
      </c>
      <c r="C335" t="s">
        <v>18</v>
      </c>
      <c r="D335" t="s">
        <v>19</v>
      </c>
      <c r="E335" t="s">
        <v>20</v>
      </c>
      <c r="F335">
        <v>5.9</v>
      </c>
      <c r="G335" t="s">
        <v>142</v>
      </c>
      <c r="H335" t="s">
        <v>16</v>
      </c>
      <c r="I335">
        <v>6.4</v>
      </c>
      <c r="J335">
        <v>5</v>
      </c>
      <c r="K335" t="s">
        <v>17</v>
      </c>
      <c r="L335">
        <v>8</v>
      </c>
      <c r="M335" t="str">
        <f>IF(Table1[[#This Row],[Age]]&lt;=18,"Teen",IF(Table1[[#This Row],[Age]]&lt;=21,"Young Adult","Adult"))</f>
        <v>Young Adult</v>
      </c>
      <c r="N335" t="str">
        <f t="shared" si="25"/>
        <v>High</v>
      </c>
      <c r="O335" t="str">
        <f t="shared" si="26"/>
        <v>High</v>
      </c>
      <c r="P335" t="str">
        <f t="shared" si="27"/>
        <v>Average</v>
      </c>
      <c r="Q335">
        <f t="shared" si="28"/>
        <v>1</v>
      </c>
      <c r="R335" t="str">
        <f t="shared" si="29"/>
        <v>Average</v>
      </c>
      <c r="S335">
        <f>COUNTIF('Students Social Media Addiction'!O:O,"High")/COUNTA(Table1[Student_ID])</f>
        <v>0.5787234042553191</v>
      </c>
      <c r="T335">
        <f>AVERAGE(Table1[Academic Impact Flag])</f>
        <v>0.64255319148936174</v>
      </c>
      <c r="U335">
        <f>AVERAGE(Table1[Sleep_Hours_Per_Night])</f>
        <v>6.868936170212768</v>
      </c>
      <c r="V335">
        <f>AVERAGE(Table1[Mental_Health_Score])</f>
        <v>6.2269503546099294</v>
      </c>
    </row>
    <row r="336" spans="1:22" x14ac:dyDescent="0.3">
      <c r="A336">
        <v>335</v>
      </c>
      <c r="B336">
        <v>20</v>
      </c>
      <c r="C336" t="s">
        <v>12</v>
      </c>
      <c r="D336" t="s">
        <v>13</v>
      </c>
      <c r="E336" t="s">
        <v>50</v>
      </c>
      <c r="F336">
        <v>3.8</v>
      </c>
      <c r="G336" t="s">
        <v>15</v>
      </c>
      <c r="H336" t="s">
        <v>22</v>
      </c>
      <c r="I336">
        <v>8</v>
      </c>
      <c r="J336">
        <v>8</v>
      </c>
      <c r="K336" t="s">
        <v>23</v>
      </c>
      <c r="L336">
        <v>4</v>
      </c>
      <c r="M336" t="str">
        <f>IF(Table1[[#This Row],[Age]]&lt;=18,"Teen",IF(Table1[[#This Row],[Age]]&lt;=21,"Young Adult","Adult"))</f>
        <v>Young Adult</v>
      </c>
      <c r="N336" t="str">
        <f t="shared" si="25"/>
        <v>Moderate</v>
      </c>
      <c r="O336" t="str">
        <f t="shared" si="26"/>
        <v>Medium</v>
      </c>
      <c r="P336" t="str">
        <f t="shared" si="27"/>
        <v>Healthy</v>
      </c>
      <c r="Q336">
        <f t="shared" si="28"/>
        <v>0</v>
      </c>
      <c r="R336" t="str">
        <f t="shared" si="29"/>
        <v>Good</v>
      </c>
      <c r="S336">
        <f>COUNTIF('Students Social Media Addiction'!O:O,"High")/COUNTA(Table1[Student_ID])</f>
        <v>0.5787234042553191</v>
      </c>
      <c r="T336">
        <f>AVERAGE(Table1[Academic Impact Flag])</f>
        <v>0.64255319148936174</v>
      </c>
      <c r="U336">
        <f>AVERAGE(Table1[Sleep_Hours_Per_Night])</f>
        <v>6.868936170212768</v>
      </c>
      <c r="V336">
        <f>AVERAGE(Table1[Mental_Health_Score])</f>
        <v>6.2269503546099294</v>
      </c>
    </row>
    <row r="337" spans="1:22" x14ac:dyDescent="0.3">
      <c r="A337">
        <v>336</v>
      </c>
      <c r="B337">
        <v>22</v>
      </c>
      <c r="C337" t="s">
        <v>18</v>
      </c>
      <c r="D337" t="s">
        <v>19</v>
      </c>
      <c r="E337" t="s">
        <v>64</v>
      </c>
      <c r="F337">
        <v>5.4</v>
      </c>
      <c r="G337" t="s">
        <v>25</v>
      </c>
      <c r="H337" t="s">
        <v>16</v>
      </c>
      <c r="I337">
        <v>6.8</v>
      </c>
      <c r="J337">
        <v>6</v>
      </c>
      <c r="K337" t="s">
        <v>23</v>
      </c>
      <c r="L337">
        <v>7</v>
      </c>
      <c r="M337" t="str">
        <f>IF(Table1[[#This Row],[Age]]&lt;=18,"Teen",IF(Table1[[#This Row],[Age]]&lt;=21,"Young Adult","Adult"))</f>
        <v>Adult</v>
      </c>
      <c r="N337" t="str">
        <f t="shared" si="25"/>
        <v>High</v>
      </c>
      <c r="O337" t="str">
        <f t="shared" si="26"/>
        <v>High</v>
      </c>
      <c r="P337" t="str">
        <f t="shared" si="27"/>
        <v>Average</v>
      </c>
      <c r="Q337">
        <f t="shared" si="28"/>
        <v>1</v>
      </c>
      <c r="R337" t="str">
        <f t="shared" si="29"/>
        <v>Average</v>
      </c>
      <c r="S337">
        <f>COUNTIF('Students Social Media Addiction'!O:O,"High")/COUNTA(Table1[Student_ID])</f>
        <v>0.5787234042553191</v>
      </c>
      <c r="T337">
        <f>AVERAGE(Table1[Academic Impact Flag])</f>
        <v>0.64255319148936174</v>
      </c>
      <c r="U337">
        <f>AVERAGE(Table1[Sleep_Hours_Per_Night])</f>
        <v>6.868936170212768</v>
      </c>
      <c r="V337">
        <f>AVERAGE(Table1[Mental_Health_Score])</f>
        <v>6.2269503546099294</v>
      </c>
    </row>
    <row r="338" spans="1:22" x14ac:dyDescent="0.3">
      <c r="A338">
        <v>337</v>
      </c>
      <c r="B338">
        <v>19</v>
      </c>
      <c r="C338" t="s">
        <v>12</v>
      </c>
      <c r="D338" t="s">
        <v>13</v>
      </c>
      <c r="E338" t="s">
        <v>24</v>
      </c>
      <c r="F338">
        <v>6.9</v>
      </c>
      <c r="G338" t="s">
        <v>15</v>
      </c>
      <c r="H338" t="s">
        <v>16</v>
      </c>
      <c r="I338">
        <v>5.4</v>
      </c>
      <c r="J338">
        <v>5</v>
      </c>
      <c r="K338" t="s">
        <v>17</v>
      </c>
      <c r="L338">
        <v>9</v>
      </c>
      <c r="M338" t="str">
        <f>IF(Table1[[#This Row],[Age]]&lt;=18,"Teen",IF(Table1[[#This Row],[Age]]&lt;=21,"Young Adult","Adult"))</f>
        <v>Young Adult</v>
      </c>
      <c r="N338" t="str">
        <f t="shared" si="25"/>
        <v>Very High</v>
      </c>
      <c r="O338" t="str">
        <f t="shared" si="26"/>
        <v>High</v>
      </c>
      <c r="P338" t="str">
        <f t="shared" si="27"/>
        <v>Poor</v>
      </c>
      <c r="Q338">
        <f t="shared" si="28"/>
        <v>1</v>
      </c>
      <c r="R338" t="str">
        <f t="shared" si="29"/>
        <v>Average</v>
      </c>
      <c r="S338">
        <f>COUNTIF('Students Social Media Addiction'!O:O,"High")/COUNTA(Table1[Student_ID])</f>
        <v>0.5787234042553191</v>
      </c>
      <c r="T338">
        <f>AVERAGE(Table1[Academic Impact Flag])</f>
        <v>0.64255319148936174</v>
      </c>
      <c r="U338">
        <f>AVERAGE(Table1[Sleep_Hours_Per_Night])</f>
        <v>6.868936170212768</v>
      </c>
      <c r="V338">
        <f>AVERAGE(Table1[Mental_Health_Score])</f>
        <v>6.2269503546099294</v>
      </c>
    </row>
    <row r="339" spans="1:22" x14ac:dyDescent="0.3">
      <c r="A339">
        <v>338</v>
      </c>
      <c r="B339">
        <v>21</v>
      </c>
      <c r="C339" t="s">
        <v>18</v>
      </c>
      <c r="D339" t="s">
        <v>19</v>
      </c>
      <c r="E339" t="s">
        <v>42</v>
      </c>
      <c r="F339">
        <v>5.7</v>
      </c>
      <c r="G339" t="s">
        <v>142</v>
      </c>
      <c r="H339" t="s">
        <v>16</v>
      </c>
      <c r="I339">
        <v>6.5</v>
      </c>
      <c r="J339">
        <v>6</v>
      </c>
      <c r="K339" t="s">
        <v>23</v>
      </c>
      <c r="L339">
        <v>7</v>
      </c>
      <c r="M339" t="str">
        <f>IF(Table1[[#This Row],[Age]]&lt;=18,"Teen",IF(Table1[[#This Row],[Age]]&lt;=21,"Young Adult","Adult"))</f>
        <v>Young Adult</v>
      </c>
      <c r="N339" t="str">
        <f t="shared" si="25"/>
        <v>High</v>
      </c>
      <c r="O339" t="str">
        <f t="shared" si="26"/>
        <v>High</v>
      </c>
      <c r="P339" t="str">
        <f t="shared" si="27"/>
        <v>Average</v>
      </c>
      <c r="Q339">
        <f t="shared" si="28"/>
        <v>1</v>
      </c>
      <c r="R339" t="str">
        <f t="shared" si="29"/>
        <v>Average</v>
      </c>
      <c r="S339">
        <f>COUNTIF('Students Social Media Addiction'!O:O,"High")/COUNTA(Table1[Student_ID])</f>
        <v>0.5787234042553191</v>
      </c>
      <c r="T339">
        <f>AVERAGE(Table1[Academic Impact Flag])</f>
        <v>0.64255319148936174</v>
      </c>
      <c r="U339">
        <f>AVERAGE(Table1[Sleep_Hours_Per_Night])</f>
        <v>6.868936170212768</v>
      </c>
      <c r="V339">
        <f>AVERAGE(Table1[Mental_Health_Score])</f>
        <v>6.2269503546099294</v>
      </c>
    </row>
    <row r="340" spans="1:22" x14ac:dyDescent="0.3">
      <c r="A340">
        <v>339</v>
      </c>
      <c r="B340">
        <v>20</v>
      </c>
      <c r="C340" t="s">
        <v>12</v>
      </c>
      <c r="D340" t="s">
        <v>13</v>
      </c>
      <c r="E340" t="s">
        <v>39</v>
      </c>
      <c r="F340">
        <v>4.4000000000000004</v>
      </c>
      <c r="G340" t="s">
        <v>15</v>
      </c>
      <c r="H340" t="s">
        <v>22</v>
      </c>
      <c r="I340">
        <v>7.6</v>
      </c>
      <c r="J340">
        <v>7</v>
      </c>
      <c r="K340" t="s">
        <v>17</v>
      </c>
      <c r="L340">
        <v>5</v>
      </c>
      <c r="M340" t="str">
        <f>IF(Table1[[#This Row],[Age]]&lt;=18,"Teen",IF(Table1[[#This Row],[Age]]&lt;=21,"Young Adult","Adult"))</f>
        <v>Young Adult</v>
      </c>
      <c r="N340" t="str">
        <f t="shared" si="25"/>
        <v>High</v>
      </c>
      <c r="O340" t="str">
        <f t="shared" si="26"/>
        <v>Medium</v>
      </c>
      <c r="P340" t="str">
        <f t="shared" si="27"/>
        <v>Healthy</v>
      </c>
      <c r="Q340">
        <f t="shared" si="28"/>
        <v>0</v>
      </c>
      <c r="R340" t="str">
        <f t="shared" si="29"/>
        <v>Good</v>
      </c>
      <c r="S340">
        <f>COUNTIF('Students Social Media Addiction'!O:O,"High")/COUNTA(Table1[Student_ID])</f>
        <v>0.5787234042553191</v>
      </c>
      <c r="T340">
        <f>AVERAGE(Table1[Academic Impact Flag])</f>
        <v>0.64255319148936174</v>
      </c>
      <c r="U340">
        <f>AVERAGE(Table1[Sleep_Hours_Per_Night])</f>
        <v>6.868936170212768</v>
      </c>
      <c r="V340">
        <f>AVERAGE(Table1[Mental_Health_Score])</f>
        <v>6.2269503546099294</v>
      </c>
    </row>
    <row r="341" spans="1:22" x14ac:dyDescent="0.3">
      <c r="A341">
        <v>340</v>
      </c>
      <c r="B341">
        <v>22</v>
      </c>
      <c r="C341" t="s">
        <v>18</v>
      </c>
      <c r="D341" t="s">
        <v>19</v>
      </c>
      <c r="E341" t="s">
        <v>30</v>
      </c>
      <c r="F341">
        <v>5.2</v>
      </c>
      <c r="G341" t="s">
        <v>25</v>
      </c>
      <c r="H341" t="s">
        <v>16</v>
      </c>
      <c r="I341">
        <v>7</v>
      </c>
      <c r="J341">
        <v>6</v>
      </c>
      <c r="K341" t="s">
        <v>23</v>
      </c>
      <c r="L341">
        <v>7</v>
      </c>
      <c r="M341" t="str">
        <f>IF(Table1[[#This Row],[Age]]&lt;=18,"Teen",IF(Table1[[#This Row],[Age]]&lt;=21,"Young Adult","Adult"))</f>
        <v>Adult</v>
      </c>
      <c r="N341" t="str">
        <f t="shared" si="25"/>
        <v>High</v>
      </c>
      <c r="O341" t="str">
        <f t="shared" si="26"/>
        <v>High</v>
      </c>
      <c r="P341" t="str">
        <f t="shared" si="27"/>
        <v>Average</v>
      </c>
      <c r="Q341">
        <f t="shared" si="28"/>
        <v>1</v>
      </c>
      <c r="R341" t="str">
        <f t="shared" si="29"/>
        <v>Average</v>
      </c>
      <c r="S341">
        <f>COUNTIF('Students Social Media Addiction'!O:O,"High")/COUNTA(Table1[Student_ID])</f>
        <v>0.5787234042553191</v>
      </c>
      <c r="T341">
        <f>AVERAGE(Table1[Academic Impact Flag])</f>
        <v>0.64255319148936174</v>
      </c>
      <c r="U341">
        <f>AVERAGE(Table1[Sleep_Hours_Per_Night])</f>
        <v>6.868936170212768</v>
      </c>
      <c r="V341">
        <f>AVERAGE(Table1[Mental_Health_Score])</f>
        <v>6.2269503546099294</v>
      </c>
    </row>
    <row r="342" spans="1:22" x14ac:dyDescent="0.3">
      <c r="A342">
        <v>341</v>
      </c>
      <c r="B342">
        <v>19</v>
      </c>
      <c r="C342" t="s">
        <v>12</v>
      </c>
      <c r="D342" t="s">
        <v>13</v>
      </c>
      <c r="E342" t="s">
        <v>40</v>
      </c>
      <c r="F342">
        <v>5</v>
      </c>
      <c r="G342" t="s">
        <v>15</v>
      </c>
      <c r="H342" t="s">
        <v>16</v>
      </c>
      <c r="I342">
        <v>6.9</v>
      </c>
      <c r="J342">
        <v>6</v>
      </c>
      <c r="K342" t="s">
        <v>23</v>
      </c>
      <c r="L342">
        <v>7</v>
      </c>
      <c r="M342" t="str">
        <f>IF(Table1[[#This Row],[Age]]&lt;=18,"Teen",IF(Table1[[#This Row],[Age]]&lt;=21,"Young Adult","Adult"))</f>
        <v>Young Adult</v>
      </c>
      <c r="N342" t="str">
        <f t="shared" si="25"/>
        <v>High</v>
      </c>
      <c r="O342" t="str">
        <f t="shared" si="26"/>
        <v>High</v>
      </c>
      <c r="P342" t="str">
        <f t="shared" si="27"/>
        <v>Average</v>
      </c>
      <c r="Q342">
        <f t="shared" si="28"/>
        <v>1</v>
      </c>
      <c r="R342" t="str">
        <f t="shared" si="29"/>
        <v>Average</v>
      </c>
      <c r="S342">
        <f>COUNTIF('Students Social Media Addiction'!O:O,"High")/COUNTA(Table1[Student_ID])</f>
        <v>0.5787234042553191</v>
      </c>
      <c r="T342">
        <f>AVERAGE(Table1[Academic Impact Flag])</f>
        <v>0.64255319148936174</v>
      </c>
      <c r="U342">
        <f>AVERAGE(Table1[Sleep_Hours_Per_Night])</f>
        <v>6.868936170212768</v>
      </c>
      <c r="V342">
        <f>AVERAGE(Table1[Mental_Health_Score])</f>
        <v>6.2269503546099294</v>
      </c>
    </row>
    <row r="343" spans="1:22" x14ac:dyDescent="0.3">
      <c r="A343">
        <v>342</v>
      </c>
      <c r="B343">
        <v>21</v>
      </c>
      <c r="C343" t="s">
        <v>18</v>
      </c>
      <c r="D343" t="s">
        <v>19</v>
      </c>
      <c r="E343" t="s">
        <v>47</v>
      </c>
      <c r="F343">
        <v>3.8</v>
      </c>
      <c r="G343" t="s">
        <v>31</v>
      </c>
      <c r="H343" t="s">
        <v>22</v>
      </c>
      <c r="I343">
        <v>8</v>
      </c>
      <c r="J343">
        <v>8</v>
      </c>
      <c r="K343" t="s">
        <v>17</v>
      </c>
      <c r="L343">
        <v>4</v>
      </c>
      <c r="M343" t="str">
        <f>IF(Table1[[#This Row],[Age]]&lt;=18,"Teen",IF(Table1[[#This Row],[Age]]&lt;=21,"Young Adult","Adult"))</f>
        <v>Young Adult</v>
      </c>
      <c r="N343" t="str">
        <f t="shared" si="25"/>
        <v>Moderate</v>
      </c>
      <c r="O343" t="str">
        <f t="shared" si="26"/>
        <v>Medium</v>
      </c>
      <c r="P343" t="str">
        <f t="shared" si="27"/>
        <v>Healthy</v>
      </c>
      <c r="Q343">
        <f t="shared" si="28"/>
        <v>0</v>
      </c>
      <c r="R343" t="str">
        <f t="shared" si="29"/>
        <v>Good</v>
      </c>
      <c r="S343">
        <f>COUNTIF('Students Social Media Addiction'!O:O,"High")/COUNTA(Table1[Student_ID])</f>
        <v>0.5787234042553191</v>
      </c>
      <c r="T343">
        <f>AVERAGE(Table1[Academic Impact Flag])</f>
        <v>0.64255319148936174</v>
      </c>
      <c r="U343">
        <f>AVERAGE(Table1[Sleep_Hours_Per_Night])</f>
        <v>6.868936170212768</v>
      </c>
      <c r="V343">
        <f>AVERAGE(Table1[Mental_Health_Score])</f>
        <v>6.2269503546099294</v>
      </c>
    </row>
    <row r="344" spans="1:22" x14ac:dyDescent="0.3">
      <c r="A344">
        <v>343</v>
      </c>
      <c r="B344">
        <v>20</v>
      </c>
      <c r="C344" t="s">
        <v>12</v>
      </c>
      <c r="D344" t="s">
        <v>13</v>
      </c>
      <c r="E344" t="s">
        <v>54</v>
      </c>
      <c r="F344">
        <v>4.7</v>
      </c>
      <c r="G344" t="s">
        <v>25</v>
      </c>
      <c r="H344" t="s">
        <v>16</v>
      </c>
      <c r="I344">
        <v>7.2</v>
      </c>
      <c r="J344">
        <v>7</v>
      </c>
      <c r="K344" t="s">
        <v>23</v>
      </c>
      <c r="L344">
        <v>6</v>
      </c>
      <c r="M344" t="str">
        <f>IF(Table1[[#This Row],[Age]]&lt;=18,"Teen",IF(Table1[[#This Row],[Age]]&lt;=21,"Young Adult","Adult"))</f>
        <v>Young Adult</v>
      </c>
      <c r="N344" t="str">
        <f t="shared" si="25"/>
        <v>High</v>
      </c>
      <c r="O344" t="str">
        <f t="shared" si="26"/>
        <v>Medium</v>
      </c>
      <c r="P344" t="str">
        <f t="shared" si="27"/>
        <v>Healthy</v>
      </c>
      <c r="Q344">
        <f t="shared" si="28"/>
        <v>1</v>
      </c>
      <c r="R344" t="str">
        <f t="shared" si="29"/>
        <v>Good</v>
      </c>
      <c r="S344">
        <f>COUNTIF('Students Social Media Addiction'!O:O,"High")/COUNTA(Table1[Student_ID])</f>
        <v>0.5787234042553191</v>
      </c>
      <c r="T344">
        <f>AVERAGE(Table1[Academic Impact Flag])</f>
        <v>0.64255319148936174</v>
      </c>
      <c r="U344">
        <f>AVERAGE(Table1[Sleep_Hours_Per_Night])</f>
        <v>6.868936170212768</v>
      </c>
      <c r="V344">
        <f>AVERAGE(Table1[Mental_Health_Score])</f>
        <v>6.2269503546099294</v>
      </c>
    </row>
    <row r="345" spans="1:22" x14ac:dyDescent="0.3">
      <c r="A345">
        <v>344</v>
      </c>
      <c r="B345">
        <v>22</v>
      </c>
      <c r="C345" t="s">
        <v>18</v>
      </c>
      <c r="D345" t="s">
        <v>19</v>
      </c>
      <c r="E345" t="s">
        <v>20</v>
      </c>
      <c r="F345">
        <v>6</v>
      </c>
      <c r="G345" t="s">
        <v>142</v>
      </c>
      <c r="H345" t="s">
        <v>16</v>
      </c>
      <c r="I345">
        <v>6.3</v>
      </c>
      <c r="J345">
        <v>5</v>
      </c>
      <c r="K345" t="s">
        <v>17</v>
      </c>
      <c r="L345">
        <v>8</v>
      </c>
      <c r="M345" t="str">
        <f>IF(Table1[[#This Row],[Age]]&lt;=18,"Teen",IF(Table1[[#This Row],[Age]]&lt;=21,"Young Adult","Adult"))</f>
        <v>Adult</v>
      </c>
      <c r="N345" t="str">
        <f t="shared" si="25"/>
        <v>Very High</v>
      </c>
      <c r="O345" t="str">
        <f t="shared" si="26"/>
        <v>High</v>
      </c>
      <c r="P345" t="str">
        <f t="shared" si="27"/>
        <v>Average</v>
      </c>
      <c r="Q345">
        <f t="shared" si="28"/>
        <v>1</v>
      </c>
      <c r="R345" t="str">
        <f t="shared" si="29"/>
        <v>Average</v>
      </c>
      <c r="S345">
        <f>COUNTIF('Students Social Media Addiction'!O:O,"High")/COUNTA(Table1[Student_ID])</f>
        <v>0.5787234042553191</v>
      </c>
      <c r="T345">
        <f>AVERAGE(Table1[Academic Impact Flag])</f>
        <v>0.64255319148936174</v>
      </c>
      <c r="U345">
        <f>AVERAGE(Table1[Sleep_Hours_Per_Night])</f>
        <v>6.868936170212768</v>
      </c>
      <c r="V345">
        <f>AVERAGE(Table1[Mental_Health_Score])</f>
        <v>6.2269503546099294</v>
      </c>
    </row>
    <row r="346" spans="1:22" x14ac:dyDescent="0.3">
      <c r="A346">
        <v>345</v>
      </c>
      <c r="B346">
        <v>19</v>
      </c>
      <c r="C346" t="s">
        <v>12</v>
      </c>
      <c r="D346" t="s">
        <v>13</v>
      </c>
      <c r="E346" t="s">
        <v>50</v>
      </c>
      <c r="F346">
        <v>3.7</v>
      </c>
      <c r="G346" t="s">
        <v>15</v>
      </c>
      <c r="H346" t="s">
        <v>22</v>
      </c>
      <c r="I346">
        <v>8.1</v>
      </c>
      <c r="J346">
        <v>8</v>
      </c>
      <c r="K346" t="s">
        <v>23</v>
      </c>
      <c r="L346">
        <v>4</v>
      </c>
      <c r="M346" t="str">
        <f>IF(Table1[[#This Row],[Age]]&lt;=18,"Teen",IF(Table1[[#This Row],[Age]]&lt;=21,"Young Adult","Adult"))</f>
        <v>Young Adult</v>
      </c>
      <c r="N346" t="str">
        <f t="shared" si="25"/>
        <v>Moderate</v>
      </c>
      <c r="O346" t="str">
        <f t="shared" si="26"/>
        <v>Medium</v>
      </c>
      <c r="P346" t="str">
        <f t="shared" si="27"/>
        <v>Healthy</v>
      </c>
      <c r="Q346">
        <f t="shared" si="28"/>
        <v>0</v>
      </c>
      <c r="R346" t="str">
        <f t="shared" si="29"/>
        <v>Good</v>
      </c>
      <c r="S346">
        <f>COUNTIF('Students Social Media Addiction'!O:O,"High")/COUNTA(Table1[Student_ID])</f>
        <v>0.5787234042553191</v>
      </c>
      <c r="T346">
        <f>AVERAGE(Table1[Academic Impact Flag])</f>
        <v>0.64255319148936174</v>
      </c>
      <c r="U346">
        <f>AVERAGE(Table1[Sleep_Hours_Per_Night])</f>
        <v>6.868936170212768</v>
      </c>
      <c r="V346">
        <f>AVERAGE(Table1[Mental_Health_Score])</f>
        <v>6.2269503546099294</v>
      </c>
    </row>
    <row r="347" spans="1:22" x14ac:dyDescent="0.3">
      <c r="A347">
        <v>346</v>
      </c>
      <c r="B347">
        <v>21</v>
      </c>
      <c r="C347" t="s">
        <v>18</v>
      </c>
      <c r="D347" t="s">
        <v>19</v>
      </c>
      <c r="E347" t="s">
        <v>64</v>
      </c>
      <c r="F347">
        <v>5.3</v>
      </c>
      <c r="G347" t="s">
        <v>15</v>
      </c>
      <c r="H347" t="s">
        <v>16</v>
      </c>
      <c r="I347">
        <v>6.9</v>
      </c>
      <c r="J347">
        <v>6</v>
      </c>
      <c r="K347" t="s">
        <v>23</v>
      </c>
      <c r="L347">
        <v>7</v>
      </c>
      <c r="M347" t="str">
        <f>IF(Table1[[#This Row],[Age]]&lt;=18,"Teen",IF(Table1[[#This Row],[Age]]&lt;=21,"Young Adult","Adult"))</f>
        <v>Young Adult</v>
      </c>
      <c r="N347" t="str">
        <f t="shared" si="25"/>
        <v>High</v>
      </c>
      <c r="O347" t="str">
        <f t="shared" si="26"/>
        <v>High</v>
      </c>
      <c r="P347" t="str">
        <f t="shared" si="27"/>
        <v>Average</v>
      </c>
      <c r="Q347">
        <f t="shared" si="28"/>
        <v>1</v>
      </c>
      <c r="R347" t="str">
        <f t="shared" si="29"/>
        <v>Average</v>
      </c>
      <c r="S347">
        <f>COUNTIF('Students Social Media Addiction'!O:O,"High")/COUNTA(Table1[Student_ID])</f>
        <v>0.5787234042553191</v>
      </c>
      <c r="T347">
        <f>AVERAGE(Table1[Academic Impact Flag])</f>
        <v>0.64255319148936174</v>
      </c>
      <c r="U347">
        <f>AVERAGE(Table1[Sleep_Hours_Per_Night])</f>
        <v>6.868936170212768</v>
      </c>
      <c r="V347">
        <f>AVERAGE(Table1[Mental_Health_Score])</f>
        <v>6.2269503546099294</v>
      </c>
    </row>
    <row r="348" spans="1:22" x14ac:dyDescent="0.3">
      <c r="A348">
        <v>347</v>
      </c>
      <c r="B348">
        <v>20</v>
      </c>
      <c r="C348" t="s">
        <v>12</v>
      </c>
      <c r="D348" t="s">
        <v>13</v>
      </c>
      <c r="E348" t="s">
        <v>24</v>
      </c>
      <c r="F348">
        <v>7</v>
      </c>
      <c r="G348" t="s">
        <v>25</v>
      </c>
      <c r="H348" t="s">
        <v>16</v>
      </c>
      <c r="I348">
        <v>5.3</v>
      </c>
      <c r="J348">
        <v>5</v>
      </c>
      <c r="K348" t="s">
        <v>17</v>
      </c>
      <c r="L348">
        <v>9</v>
      </c>
      <c r="M348" t="str">
        <f>IF(Table1[[#This Row],[Age]]&lt;=18,"Teen",IF(Table1[[#This Row],[Age]]&lt;=21,"Young Adult","Adult"))</f>
        <v>Young Adult</v>
      </c>
      <c r="N348" t="str">
        <f t="shared" si="25"/>
        <v>Very High</v>
      </c>
      <c r="O348" t="str">
        <f t="shared" si="26"/>
        <v>High</v>
      </c>
      <c r="P348" t="str">
        <f t="shared" si="27"/>
        <v>Poor</v>
      </c>
      <c r="Q348">
        <f t="shared" si="28"/>
        <v>1</v>
      </c>
      <c r="R348" t="str">
        <f t="shared" si="29"/>
        <v>Average</v>
      </c>
      <c r="S348">
        <f>COUNTIF('Students Social Media Addiction'!O:O,"High")/COUNTA(Table1[Student_ID])</f>
        <v>0.5787234042553191</v>
      </c>
      <c r="T348">
        <f>AVERAGE(Table1[Academic Impact Flag])</f>
        <v>0.64255319148936174</v>
      </c>
      <c r="U348">
        <f>AVERAGE(Table1[Sleep_Hours_Per_Night])</f>
        <v>6.868936170212768</v>
      </c>
      <c r="V348">
        <f>AVERAGE(Table1[Mental_Health_Score])</f>
        <v>6.2269503546099294</v>
      </c>
    </row>
    <row r="349" spans="1:22" x14ac:dyDescent="0.3">
      <c r="A349">
        <v>348</v>
      </c>
      <c r="B349">
        <v>22</v>
      </c>
      <c r="C349" t="s">
        <v>18</v>
      </c>
      <c r="D349" t="s">
        <v>19</v>
      </c>
      <c r="E349" t="s">
        <v>42</v>
      </c>
      <c r="F349">
        <v>5.8</v>
      </c>
      <c r="G349" t="s">
        <v>142</v>
      </c>
      <c r="H349" t="s">
        <v>16</v>
      </c>
      <c r="I349">
        <v>6.4</v>
      </c>
      <c r="J349">
        <v>6</v>
      </c>
      <c r="K349" t="s">
        <v>23</v>
      </c>
      <c r="L349">
        <v>7</v>
      </c>
      <c r="M349" t="str">
        <f>IF(Table1[[#This Row],[Age]]&lt;=18,"Teen",IF(Table1[[#This Row],[Age]]&lt;=21,"Young Adult","Adult"))</f>
        <v>Adult</v>
      </c>
      <c r="N349" t="str">
        <f t="shared" si="25"/>
        <v>High</v>
      </c>
      <c r="O349" t="str">
        <f t="shared" si="26"/>
        <v>High</v>
      </c>
      <c r="P349" t="str">
        <f t="shared" si="27"/>
        <v>Average</v>
      </c>
      <c r="Q349">
        <f t="shared" si="28"/>
        <v>1</v>
      </c>
      <c r="R349" t="str">
        <f t="shared" si="29"/>
        <v>Average</v>
      </c>
      <c r="S349">
        <f>COUNTIF('Students Social Media Addiction'!O:O,"High")/COUNTA(Table1[Student_ID])</f>
        <v>0.5787234042553191</v>
      </c>
      <c r="T349">
        <f>AVERAGE(Table1[Academic Impact Flag])</f>
        <v>0.64255319148936174</v>
      </c>
      <c r="U349">
        <f>AVERAGE(Table1[Sleep_Hours_Per_Night])</f>
        <v>6.868936170212768</v>
      </c>
      <c r="V349">
        <f>AVERAGE(Table1[Mental_Health_Score])</f>
        <v>6.2269503546099294</v>
      </c>
    </row>
    <row r="350" spans="1:22" x14ac:dyDescent="0.3">
      <c r="A350">
        <v>349</v>
      </c>
      <c r="B350">
        <v>19</v>
      </c>
      <c r="C350" t="s">
        <v>12</v>
      </c>
      <c r="D350" t="s">
        <v>13</v>
      </c>
      <c r="E350" t="s">
        <v>39</v>
      </c>
      <c r="F350">
        <v>4.3</v>
      </c>
      <c r="G350" t="s">
        <v>15</v>
      </c>
      <c r="H350" t="s">
        <v>22</v>
      </c>
      <c r="I350">
        <v>7.7</v>
      </c>
      <c r="J350">
        <v>7</v>
      </c>
      <c r="K350" t="s">
        <v>17</v>
      </c>
      <c r="L350">
        <v>5</v>
      </c>
      <c r="M350" t="str">
        <f>IF(Table1[[#This Row],[Age]]&lt;=18,"Teen",IF(Table1[[#This Row],[Age]]&lt;=21,"Young Adult","Adult"))</f>
        <v>Young Adult</v>
      </c>
      <c r="N350" t="str">
        <f t="shared" si="25"/>
        <v>High</v>
      </c>
      <c r="O350" t="str">
        <f t="shared" si="26"/>
        <v>Medium</v>
      </c>
      <c r="P350" t="str">
        <f t="shared" si="27"/>
        <v>Healthy</v>
      </c>
      <c r="Q350">
        <f t="shared" si="28"/>
        <v>0</v>
      </c>
      <c r="R350" t="str">
        <f t="shared" si="29"/>
        <v>Good</v>
      </c>
      <c r="S350">
        <f>COUNTIF('Students Social Media Addiction'!O:O,"High")/COUNTA(Table1[Student_ID])</f>
        <v>0.5787234042553191</v>
      </c>
      <c r="T350">
        <f>AVERAGE(Table1[Academic Impact Flag])</f>
        <v>0.64255319148936174</v>
      </c>
      <c r="U350">
        <f>AVERAGE(Table1[Sleep_Hours_Per_Night])</f>
        <v>6.868936170212768</v>
      </c>
      <c r="V350">
        <f>AVERAGE(Table1[Mental_Health_Score])</f>
        <v>6.2269503546099294</v>
      </c>
    </row>
    <row r="351" spans="1:22" x14ac:dyDescent="0.3">
      <c r="A351">
        <v>350</v>
      </c>
      <c r="B351">
        <v>21</v>
      </c>
      <c r="C351" t="s">
        <v>18</v>
      </c>
      <c r="D351" t="s">
        <v>19</v>
      </c>
      <c r="E351" t="s">
        <v>30</v>
      </c>
      <c r="F351">
        <v>5.0999999999999996</v>
      </c>
      <c r="G351" t="s">
        <v>15</v>
      </c>
      <c r="H351" t="s">
        <v>16</v>
      </c>
      <c r="I351">
        <v>7.1</v>
      </c>
      <c r="J351">
        <v>6</v>
      </c>
      <c r="K351" t="s">
        <v>23</v>
      </c>
      <c r="L351">
        <v>7</v>
      </c>
      <c r="M351" t="str">
        <f>IF(Table1[[#This Row],[Age]]&lt;=18,"Teen",IF(Table1[[#This Row],[Age]]&lt;=21,"Young Adult","Adult"))</f>
        <v>Young Adult</v>
      </c>
      <c r="N351" t="str">
        <f t="shared" si="25"/>
        <v>High</v>
      </c>
      <c r="O351" t="str">
        <f t="shared" si="26"/>
        <v>High</v>
      </c>
      <c r="P351" t="str">
        <f t="shared" si="27"/>
        <v>Healthy</v>
      </c>
      <c r="Q351">
        <f t="shared" si="28"/>
        <v>1</v>
      </c>
      <c r="R351" t="str">
        <f t="shared" si="29"/>
        <v>Average</v>
      </c>
      <c r="S351">
        <f>COUNTIF('Students Social Media Addiction'!O:O,"High")/COUNTA(Table1[Student_ID])</f>
        <v>0.5787234042553191</v>
      </c>
      <c r="T351">
        <f>AVERAGE(Table1[Academic Impact Flag])</f>
        <v>0.64255319148936174</v>
      </c>
      <c r="U351">
        <f>AVERAGE(Table1[Sleep_Hours_Per_Night])</f>
        <v>6.868936170212768</v>
      </c>
      <c r="V351">
        <f>AVERAGE(Table1[Mental_Health_Score])</f>
        <v>6.2269503546099294</v>
      </c>
    </row>
    <row r="352" spans="1:22" x14ac:dyDescent="0.3">
      <c r="A352">
        <v>351</v>
      </c>
      <c r="B352">
        <v>20</v>
      </c>
      <c r="C352" t="s">
        <v>12</v>
      </c>
      <c r="D352" t="s">
        <v>13</v>
      </c>
      <c r="E352" t="s">
        <v>40</v>
      </c>
      <c r="F352">
        <v>4.9000000000000004</v>
      </c>
      <c r="G352" t="s">
        <v>25</v>
      </c>
      <c r="H352" t="s">
        <v>16</v>
      </c>
      <c r="I352">
        <v>7</v>
      </c>
      <c r="J352">
        <v>6</v>
      </c>
      <c r="K352" t="s">
        <v>23</v>
      </c>
      <c r="L352">
        <v>7</v>
      </c>
      <c r="M352" t="str">
        <f>IF(Table1[[#This Row],[Age]]&lt;=18,"Teen",IF(Table1[[#This Row],[Age]]&lt;=21,"Young Adult","Adult"))</f>
        <v>Young Adult</v>
      </c>
      <c r="N352" t="str">
        <f t="shared" si="25"/>
        <v>High</v>
      </c>
      <c r="O352" t="str">
        <f t="shared" si="26"/>
        <v>High</v>
      </c>
      <c r="P352" t="str">
        <f t="shared" si="27"/>
        <v>Average</v>
      </c>
      <c r="Q352">
        <f t="shared" si="28"/>
        <v>1</v>
      </c>
      <c r="R352" t="str">
        <f t="shared" si="29"/>
        <v>Average</v>
      </c>
      <c r="S352">
        <f>COUNTIF('Students Social Media Addiction'!O:O,"High")/COUNTA(Table1[Student_ID])</f>
        <v>0.5787234042553191</v>
      </c>
      <c r="T352">
        <f>AVERAGE(Table1[Academic Impact Flag])</f>
        <v>0.64255319148936174</v>
      </c>
      <c r="U352">
        <f>AVERAGE(Table1[Sleep_Hours_Per_Night])</f>
        <v>6.868936170212768</v>
      </c>
      <c r="V352">
        <f>AVERAGE(Table1[Mental_Health_Score])</f>
        <v>6.2269503546099294</v>
      </c>
    </row>
    <row r="353" spans="1:22" x14ac:dyDescent="0.3">
      <c r="A353">
        <v>352</v>
      </c>
      <c r="B353">
        <v>22</v>
      </c>
      <c r="C353" t="s">
        <v>18</v>
      </c>
      <c r="D353" t="s">
        <v>19</v>
      </c>
      <c r="E353" t="s">
        <v>47</v>
      </c>
      <c r="F353">
        <v>3.7</v>
      </c>
      <c r="G353" t="s">
        <v>31</v>
      </c>
      <c r="H353" t="s">
        <v>22</v>
      </c>
      <c r="I353">
        <v>8.1</v>
      </c>
      <c r="J353">
        <v>8</v>
      </c>
      <c r="K353" t="s">
        <v>17</v>
      </c>
      <c r="L353">
        <v>4</v>
      </c>
      <c r="M353" t="str">
        <f>IF(Table1[[#This Row],[Age]]&lt;=18,"Teen",IF(Table1[[#This Row],[Age]]&lt;=21,"Young Adult","Adult"))</f>
        <v>Adult</v>
      </c>
      <c r="N353" t="str">
        <f t="shared" si="25"/>
        <v>Moderate</v>
      </c>
      <c r="O353" t="str">
        <f t="shared" si="26"/>
        <v>Medium</v>
      </c>
      <c r="P353" t="str">
        <f t="shared" si="27"/>
        <v>Healthy</v>
      </c>
      <c r="Q353">
        <f t="shared" si="28"/>
        <v>0</v>
      </c>
      <c r="R353" t="str">
        <f t="shared" si="29"/>
        <v>Good</v>
      </c>
      <c r="S353">
        <f>COUNTIF('Students Social Media Addiction'!O:O,"High")/COUNTA(Table1[Student_ID])</f>
        <v>0.5787234042553191</v>
      </c>
      <c r="T353">
        <f>AVERAGE(Table1[Academic Impact Flag])</f>
        <v>0.64255319148936174</v>
      </c>
      <c r="U353">
        <f>AVERAGE(Table1[Sleep_Hours_Per_Night])</f>
        <v>6.868936170212768</v>
      </c>
      <c r="V353">
        <f>AVERAGE(Table1[Mental_Health_Score])</f>
        <v>6.2269503546099294</v>
      </c>
    </row>
    <row r="354" spans="1:22" x14ac:dyDescent="0.3">
      <c r="A354">
        <v>353</v>
      </c>
      <c r="B354">
        <v>19</v>
      </c>
      <c r="C354" t="s">
        <v>12</v>
      </c>
      <c r="D354" t="s">
        <v>13</v>
      </c>
      <c r="E354" t="s">
        <v>54</v>
      </c>
      <c r="F354">
        <v>4.5999999999999996</v>
      </c>
      <c r="G354" t="s">
        <v>15</v>
      </c>
      <c r="H354" t="s">
        <v>16</v>
      </c>
      <c r="I354">
        <v>7.3</v>
      </c>
      <c r="J354">
        <v>7</v>
      </c>
      <c r="K354" t="s">
        <v>23</v>
      </c>
      <c r="L354">
        <v>6</v>
      </c>
      <c r="M354" t="str">
        <f>IF(Table1[[#This Row],[Age]]&lt;=18,"Teen",IF(Table1[[#This Row],[Age]]&lt;=21,"Young Adult","Adult"))</f>
        <v>Young Adult</v>
      </c>
      <c r="N354" t="str">
        <f t="shared" si="25"/>
        <v>High</v>
      </c>
      <c r="O354" t="str">
        <f t="shared" si="26"/>
        <v>Medium</v>
      </c>
      <c r="P354" t="str">
        <f t="shared" si="27"/>
        <v>Healthy</v>
      </c>
      <c r="Q354">
        <f t="shared" si="28"/>
        <v>1</v>
      </c>
      <c r="R354" t="str">
        <f t="shared" si="29"/>
        <v>Good</v>
      </c>
      <c r="S354">
        <f>COUNTIF('Students Social Media Addiction'!O:O,"High")/COUNTA(Table1[Student_ID])</f>
        <v>0.5787234042553191</v>
      </c>
      <c r="T354">
        <f>AVERAGE(Table1[Academic Impact Flag])</f>
        <v>0.64255319148936174</v>
      </c>
      <c r="U354">
        <f>AVERAGE(Table1[Sleep_Hours_Per_Night])</f>
        <v>6.868936170212768</v>
      </c>
      <c r="V354">
        <f>AVERAGE(Table1[Mental_Health_Score])</f>
        <v>6.2269503546099294</v>
      </c>
    </row>
    <row r="355" spans="1:22" x14ac:dyDescent="0.3">
      <c r="A355">
        <v>354</v>
      </c>
      <c r="B355">
        <v>21</v>
      </c>
      <c r="C355" t="s">
        <v>18</v>
      </c>
      <c r="D355" t="s">
        <v>19</v>
      </c>
      <c r="E355" t="s">
        <v>20</v>
      </c>
      <c r="F355">
        <v>6.1</v>
      </c>
      <c r="G355" t="s">
        <v>142</v>
      </c>
      <c r="H355" t="s">
        <v>16</v>
      </c>
      <c r="I355">
        <v>6.2</v>
      </c>
      <c r="J355">
        <v>5</v>
      </c>
      <c r="K355" t="s">
        <v>17</v>
      </c>
      <c r="L355">
        <v>8</v>
      </c>
      <c r="M355" t="str">
        <f>IF(Table1[[#This Row],[Age]]&lt;=18,"Teen",IF(Table1[[#This Row],[Age]]&lt;=21,"Young Adult","Adult"))</f>
        <v>Young Adult</v>
      </c>
      <c r="N355" t="str">
        <f t="shared" si="25"/>
        <v>Very High</v>
      </c>
      <c r="O355" t="str">
        <f t="shared" si="26"/>
        <v>High</v>
      </c>
      <c r="P355" t="str">
        <f t="shared" si="27"/>
        <v>Average</v>
      </c>
      <c r="Q355">
        <f t="shared" si="28"/>
        <v>1</v>
      </c>
      <c r="R355" t="str">
        <f t="shared" si="29"/>
        <v>Average</v>
      </c>
      <c r="S355">
        <f>COUNTIF('Students Social Media Addiction'!O:O,"High")/COUNTA(Table1[Student_ID])</f>
        <v>0.5787234042553191</v>
      </c>
      <c r="T355">
        <f>AVERAGE(Table1[Academic Impact Flag])</f>
        <v>0.64255319148936174</v>
      </c>
      <c r="U355">
        <f>AVERAGE(Table1[Sleep_Hours_Per_Night])</f>
        <v>6.868936170212768</v>
      </c>
      <c r="V355">
        <f>AVERAGE(Table1[Mental_Health_Score])</f>
        <v>6.2269503546099294</v>
      </c>
    </row>
    <row r="356" spans="1:22" x14ac:dyDescent="0.3">
      <c r="A356">
        <v>355</v>
      </c>
      <c r="B356">
        <v>20</v>
      </c>
      <c r="C356" t="s">
        <v>12</v>
      </c>
      <c r="D356" t="s">
        <v>13</v>
      </c>
      <c r="E356" t="s">
        <v>50</v>
      </c>
      <c r="F356">
        <v>3.6</v>
      </c>
      <c r="G356" t="s">
        <v>15</v>
      </c>
      <c r="H356" t="s">
        <v>22</v>
      </c>
      <c r="I356">
        <v>8.1999999999999993</v>
      </c>
      <c r="J356">
        <v>8</v>
      </c>
      <c r="K356" t="s">
        <v>23</v>
      </c>
      <c r="L356">
        <v>4</v>
      </c>
      <c r="M356" t="str">
        <f>IF(Table1[[#This Row],[Age]]&lt;=18,"Teen",IF(Table1[[#This Row],[Age]]&lt;=21,"Young Adult","Adult"))</f>
        <v>Young Adult</v>
      </c>
      <c r="N356" t="str">
        <f t="shared" si="25"/>
        <v>Moderate</v>
      </c>
      <c r="O356" t="str">
        <f t="shared" si="26"/>
        <v>Medium</v>
      </c>
      <c r="P356" t="str">
        <f t="shared" si="27"/>
        <v>Healthy</v>
      </c>
      <c r="Q356">
        <f t="shared" si="28"/>
        <v>0</v>
      </c>
      <c r="R356" t="str">
        <f t="shared" si="29"/>
        <v>Good</v>
      </c>
      <c r="S356">
        <f>COUNTIF('Students Social Media Addiction'!O:O,"High")/COUNTA(Table1[Student_ID])</f>
        <v>0.5787234042553191</v>
      </c>
      <c r="T356">
        <f>AVERAGE(Table1[Academic Impact Flag])</f>
        <v>0.64255319148936174</v>
      </c>
      <c r="U356">
        <f>AVERAGE(Table1[Sleep_Hours_Per_Night])</f>
        <v>6.868936170212768</v>
      </c>
      <c r="V356">
        <f>AVERAGE(Table1[Mental_Health_Score])</f>
        <v>6.2269503546099294</v>
      </c>
    </row>
    <row r="357" spans="1:22" x14ac:dyDescent="0.3">
      <c r="A357">
        <v>356</v>
      </c>
      <c r="B357">
        <v>22</v>
      </c>
      <c r="C357" t="s">
        <v>18</v>
      </c>
      <c r="D357" t="s">
        <v>19</v>
      </c>
      <c r="E357" t="s">
        <v>64</v>
      </c>
      <c r="F357">
        <v>5.2</v>
      </c>
      <c r="G357" t="s">
        <v>25</v>
      </c>
      <c r="H357" t="s">
        <v>16</v>
      </c>
      <c r="I357">
        <v>7</v>
      </c>
      <c r="J357">
        <v>6</v>
      </c>
      <c r="K357" t="s">
        <v>23</v>
      </c>
      <c r="L357">
        <v>7</v>
      </c>
      <c r="M357" t="str">
        <f>IF(Table1[[#This Row],[Age]]&lt;=18,"Teen",IF(Table1[[#This Row],[Age]]&lt;=21,"Young Adult","Adult"))</f>
        <v>Adult</v>
      </c>
      <c r="N357" t="str">
        <f t="shared" si="25"/>
        <v>High</v>
      </c>
      <c r="O357" t="str">
        <f t="shared" si="26"/>
        <v>High</v>
      </c>
      <c r="P357" t="str">
        <f t="shared" si="27"/>
        <v>Average</v>
      </c>
      <c r="Q357">
        <f t="shared" si="28"/>
        <v>1</v>
      </c>
      <c r="R357" t="str">
        <f t="shared" si="29"/>
        <v>Average</v>
      </c>
      <c r="S357">
        <f>COUNTIF('Students Social Media Addiction'!O:O,"High")/COUNTA(Table1[Student_ID])</f>
        <v>0.5787234042553191</v>
      </c>
      <c r="T357">
        <f>AVERAGE(Table1[Academic Impact Flag])</f>
        <v>0.64255319148936174</v>
      </c>
      <c r="U357">
        <f>AVERAGE(Table1[Sleep_Hours_Per_Night])</f>
        <v>6.868936170212768</v>
      </c>
      <c r="V357">
        <f>AVERAGE(Table1[Mental_Health_Score])</f>
        <v>6.2269503546099294</v>
      </c>
    </row>
    <row r="358" spans="1:22" x14ac:dyDescent="0.3">
      <c r="A358">
        <v>357</v>
      </c>
      <c r="B358">
        <v>19</v>
      </c>
      <c r="C358" t="s">
        <v>12</v>
      </c>
      <c r="D358" t="s">
        <v>13</v>
      </c>
      <c r="E358" t="s">
        <v>24</v>
      </c>
      <c r="F358">
        <v>7.1</v>
      </c>
      <c r="G358" t="s">
        <v>15</v>
      </c>
      <c r="H358" t="s">
        <v>16</v>
      </c>
      <c r="I358">
        <v>5.2</v>
      </c>
      <c r="J358">
        <v>5</v>
      </c>
      <c r="K358" t="s">
        <v>17</v>
      </c>
      <c r="L358">
        <v>9</v>
      </c>
      <c r="M358" t="str">
        <f>IF(Table1[[#This Row],[Age]]&lt;=18,"Teen",IF(Table1[[#This Row],[Age]]&lt;=21,"Young Adult","Adult"))</f>
        <v>Young Adult</v>
      </c>
      <c r="N358" t="str">
        <f t="shared" si="25"/>
        <v>Very High</v>
      </c>
      <c r="O358" t="str">
        <f t="shared" si="26"/>
        <v>High</v>
      </c>
      <c r="P358" t="str">
        <f t="shared" si="27"/>
        <v>Poor</v>
      </c>
      <c r="Q358">
        <f t="shared" si="28"/>
        <v>1</v>
      </c>
      <c r="R358" t="str">
        <f t="shared" si="29"/>
        <v>Average</v>
      </c>
      <c r="S358">
        <f>COUNTIF('Students Social Media Addiction'!O:O,"High")/COUNTA(Table1[Student_ID])</f>
        <v>0.5787234042553191</v>
      </c>
      <c r="T358">
        <f>AVERAGE(Table1[Academic Impact Flag])</f>
        <v>0.64255319148936174</v>
      </c>
      <c r="U358">
        <f>AVERAGE(Table1[Sleep_Hours_Per_Night])</f>
        <v>6.868936170212768</v>
      </c>
      <c r="V358">
        <f>AVERAGE(Table1[Mental_Health_Score])</f>
        <v>6.2269503546099294</v>
      </c>
    </row>
    <row r="359" spans="1:22" x14ac:dyDescent="0.3">
      <c r="A359">
        <v>358</v>
      </c>
      <c r="B359">
        <v>21</v>
      </c>
      <c r="C359" t="s">
        <v>18</v>
      </c>
      <c r="D359" t="s">
        <v>19</v>
      </c>
      <c r="E359" t="s">
        <v>42</v>
      </c>
      <c r="F359">
        <v>5.9</v>
      </c>
      <c r="G359" t="s">
        <v>142</v>
      </c>
      <c r="H359" t="s">
        <v>16</v>
      </c>
      <c r="I359">
        <v>6.3</v>
      </c>
      <c r="J359">
        <v>6</v>
      </c>
      <c r="K359" t="s">
        <v>23</v>
      </c>
      <c r="L359">
        <v>7</v>
      </c>
      <c r="M359" t="str">
        <f>IF(Table1[[#This Row],[Age]]&lt;=18,"Teen",IF(Table1[[#This Row],[Age]]&lt;=21,"Young Adult","Adult"))</f>
        <v>Young Adult</v>
      </c>
      <c r="N359" t="str">
        <f t="shared" si="25"/>
        <v>High</v>
      </c>
      <c r="O359" t="str">
        <f t="shared" si="26"/>
        <v>High</v>
      </c>
      <c r="P359" t="str">
        <f t="shared" si="27"/>
        <v>Average</v>
      </c>
      <c r="Q359">
        <f t="shared" si="28"/>
        <v>1</v>
      </c>
      <c r="R359" t="str">
        <f t="shared" si="29"/>
        <v>Average</v>
      </c>
      <c r="S359">
        <f>COUNTIF('Students Social Media Addiction'!O:O,"High")/COUNTA(Table1[Student_ID])</f>
        <v>0.5787234042553191</v>
      </c>
      <c r="T359">
        <f>AVERAGE(Table1[Academic Impact Flag])</f>
        <v>0.64255319148936174</v>
      </c>
      <c r="U359">
        <f>AVERAGE(Table1[Sleep_Hours_Per_Night])</f>
        <v>6.868936170212768</v>
      </c>
      <c r="V359">
        <f>AVERAGE(Table1[Mental_Health_Score])</f>
        <v>6.2269503546099294</v>
      </c>
    </row>
    <row r="360" spans="1:22" x14ac:dyDescent="0.3">
      <c r="A360">
        <v>359</v>
      </c>
      <c r="B360">
        <v>20</v>
      </c>
      <c r="C360" t="s">
        <v>12</v>
      </c>
      <c r="D360" t="s">
        <v>13</v>
      </c>
      <c r="E360" t="s">
        <v>39</v>
      </c>
      <c r="F360">
        <v>4.2</v>
      </c>
      <c r="G360" t="s">
        <v>15</v>
      </c>
      <c r="H360" t="s">
        <v>22</v>
      </c>
      <c r="I360">
        <v>7.8</v>
      </c>
      <c r="J360">
        <v>7</v>
      </c>
      <c r="K360" t="s">
        <v>17</v>
      </c>
      <c r="L360">
        <v>5</v>
      </c>
      <c r="M360" t="str">
        <f>IF(Table1[[#This Row],[Age]]&lt;=18,"Teen",IF(Table1[[#This Row],[Age]]&lt;=21,"Young Adult","Adult"))</f>
        <v>Young Adult</v>
      </c>
      <c r="N360" t="str">
        <f t="shared" si="25"/>
        <v>High</v>
      </c>
      <c r="O360" t="str">
        <f t="shared" si="26"/>
        <v>Medium</v>
      </c>
      <c r="P360" t="str">
        <f t="shared" si="27"/>
        <v>Healthy</v>
      </c>
      <c r="Q360">
        <f t="shared" si="28"/>
        <v>0</v>
      </c>
      <c r="R360" t="str">
        <f t="shared" si="29"/>
        <v>Good</v>
      </c>
      <c r="S360">
        <f>COUNTIF('Students Social Media Addiction'!O:O,"High")/COUNTA(Table1[Student_ID])</f>
        <v>0.5787234042553191</v>
      </c>
      <c r="T360">
        <f>AVERAGE(Table1[Academic Impact Flag])</f>
        <v>0.64255319148936174</v>
      </c>
      <c r="U360">
        <f>AVERAGE(Table1[Sleep_Hours_Per_Night])</f>
        <v>6.868936170212768</v>
      </c>
      <c r="V360">
        <f>AVERAGE(Table1[Mental_Health_Score])</f>
        <v>6.2269503546099294</v>
      </c>
    </row>
    <row r="361" spans="1:22" x14ac:dyDescent="0.3">
      <c r="A361">
        <v>360</v>
      </c>
      <c r="B361">
        <v>22</v>
      </c>
      <c r="C361" t="s">
        <v>18</v>
      </c>
      <c r="D361" t="s">
        <v>19</v>
      </c>
      <c r="E361" t="s">
        <v>30</v>
      </c>
      <c r="F361">
        <v>5</v>
      </c>
      <c r="G361" t="s">
        <v>25</v>
      </c>
      <c r="H361" t="s">
        <v>16</v>
      </c>
      <c r="I361">
        <v>7.2</v>
      </c>
      <c r="J361">
        <v>6</v>
      </c>
      <c r="K361" t="s">
        <v>23</v>
      </c>
      <c r="L361">
        <v>7</v>
      </c>
      <c r="M361" t="str">
        <f>IF(Table1[[#This Row],[Age]]&lt;=18,"Teen",IF(Table1[[#This Row],[Age]]&lt;=21,"Young Adult","Adult"))</f>
        <v>Adult</v>
      </c>
      <c r="N361" t="str">
        <f t="shared" si="25"/>
        <v>High</v>
      </c>
      <c r="O361" t="str">
        <f t="shared" si="26"/>
        <v>High</v>
      </c>
      <c r="P361" t="str">
        <f t="shared" si="27"/>
        <v>Healthy</v>
      </c>
      <c r="Q361">
        <f t="shared" si="28"/>
        <v>1</v>
      </c>
      <c r="R361" t="str">
        <f t="shared" si="29"/>
        <v>Average</v>
      </c>
      <c r="S361">
        <f>COUNTIF('Students Social Media Addiction'!O:O,"High")/COUNTA(Table1[Student_ID])</f>
        <v>0.5787234042553191</v>
      </c>
      <c r="T361">
        <f>AVERAGE(Table1[Academic Impact Flag])</f>
        <v>0.64255319148936174</v>
      </c>
      <c r="U361">
        <f>AVERAGE(Table1[Sleep_Hours_Per_Night])</f>
        <v>6.868936170212768</v>
      </c>
      <c r="V361">
        <f>AVERAGE(Table1[Mental_Health_Score])</f>
        <v>6.2269503546099294</v>
      </c>
    </row>
    <row r="362" spans="1:22" x14ac:dyDescent="0.3">
      <c r="A362">
        <v>361</v>
      </c>
      <c r="B362">
        <v>19</v>
      </c>
      <c r="C362" t="s">
        <v>12</v>
      </c>
      <c r="D362" t="s">
        <v>13</v>
      </c>
      <c r="E362" t="s">
        <v>40</v>
      </c>
      <c r="F362">
        <v>4.8</v>
      </c>
      <c r="G362" t="s">
        <v>15</v>
      </c>
      <c r="H362" t="s">
        <v>16</v>
      </c>
      <c r="I362">
        <v>7.1</v>
      </c>
      <c r="J362">
        <v>6</v>
      </c>
      <c r="K362" t="s">
        <v>23</v>
      </c>
      <c r="L362">
        <v>7</v>
      </c>
      <c r="M362" t="str">
        <f>IF(Table1[[#This Row],[Age]]&lt;=18,"Teen",IF(Table1[[#This Row],[Age]]&lt;=21,"Young Adult","Adult"))</f>
        <v>Young Adult</v>
      </c>
      <c r="N362" t="str">
        <f t="shared" si="25"/>
        <v>High</v>
      </c>
      <c r="O362" t="str">
        <f t="shared" si="26"/>
        <v>High</v>
      </c>
      <c r="P362" t="str">
        <f t="shared" si="27"/>
        <v>Healthy</v>
      </c>
      <c r="Q362">
        <f t="shared" si="28"/>
        <v>1</v>
      </c>
      <c r="R362" t="str">
        <f t="shared" si="29"/>
        <v>Average</v>
      </c>
      <c r="S362">
        <f>COUNTIF('Students Social Media Addiction'!O:O,"High")/COUNTA(Table1[Student_ID])</f>
        <v>0.5787234042553191</v>
      </c>
      <c r="T362">
        <f>AVERAGE(Table1[Academic Impact Flag])</f>
        <v>0.64255319148936174</v>
      </c>
      <c r="U362">
        <f>AVERAGE(Table1[Sleep_Hours_Per_Night])</f>
        <v>6.868936170212768</v>
      </c>
      <c r="V362">
        <f>AVERAGE(Table1[Mental_Health_Score])</f>
        <v>6.2269503546099294</v>
      </c>
    </row>
    <row r="363" spans="1:22" x14ac:dyDescent="0.3">
      <c r="A363">
        <v>362</v>
      </c>
      <c r="B363">
        <v>21</v>
      </c>
      <c r="C363" t="s">
        <v>18</v>
      </c>
      <c r="D363" t="s">
        <v>19</v>
      </c>
      <c r="E363" t="s">
        <v>47</v>
      </c>
      <c r="F363">
        <v>3.6</v>
      </c>
      <c r="G363" t="s">
        <v>31</v>
      </c>
      <c r="H363" t="s">
        <v>22</v>
      </c>
      <c r="I363">
        <v>8.1999999999999993</v>
      </c>
      <c r="J363">
        <v>8</v>
      </c>
      <c r="K363" t="s">
        <v>17</v>
      </c>
      <c r="L363">
        <v>4</v>
      </c>
      <c r="M363" t="str">
        <f>IF(Table1[[#This Row],[Age]]&lt;=18,"Teen",IF(Table1[[#This Row],[Age]]&lt;=21,"Young Adult","Adult"))</f>
        <v>Young Adult</v>
      </c>
      <c r="N363" t="str">
        <f t="shared" si="25"/>
        <v>Moderate</v>
      </c>
      <c r="O363" t="str">
        <f t="shared" si="26"/>
        <v>Medium</v>
      </c>
      <c r="P363" t="str">
        <f t="shared" si="27"/>
        <v>Healthy</v>
      </c>
      <c r="Q363">
        <f t="shared" si="28"/>
        <v>0</v>
      </c>
      <c r="R363" t="str">
        <f t="shared" si="29"/>
        <v>Good</v>
      </c>
      <c r="S363">
        <f>COUNTIF('Students Social Media Addiction'!O:O,"High")/COUNTA(Table1[Student_ID])</f>
        <v>0.5787234042553191</v>
      </c>
      <c r="T363">
        <f>AVERAGE(Table1[Academic Impact Flag])</f>
        <v>0.64255319148936174</v>
      </c>
      <c r="U363">
        <f>AVERAGE(Table1[Sleep_Hours_Per_Night])</f>
        <v>6.868936170212768</v>
      </c>
      <c r="V363">
        <f>AVERAGE(Table1[Mental_Health_Score])</f>
        <v>6.2269503546099294</v>
      </c>
    </row>
    <row r="364" spans="1:22" x14ac:dyDescent="0.3">
      <c r="A364">
        <v>363</v>
      </c>
      <c r="B364">
        <v>20</v>
      </c>
      <c r="C364" t="s">
        <v>12</v>
      </c>
      <c r="D364" t="s">
        <v>13</v>
      </c>
      <c r="E364" t="s">
        <v>54</v>
      </c>
      <c r="F364">
        <v>4.5</v>
      </c>
      <c r="G364" t="s">
        <v>25</v>
      </c>
      <c r="H364" t="s">
        <v>16</v>
      </c>
      <c r="I364">
        <v>7.4</v>
      </c>
      <c r="J364">
        <v>7</v>
      </c>
      <c r="K364" t="s">
        <v>23</v>
      </c>
      <c r="L364">
        <v>6</v>
      </c>
      <c r="M364" t="str">
        <f>IF(Table1[[#This Row],[Age]]&lt;=18,"Teen",IF(Table1[[#This Row],[Age]]&lt;=21,"Young Adult","Adult"))</f>
        <v>Young Adult</v>
      </c>
      <c r="N364" t="str">
        <f t="shared" si="25"/>
        <v>High</v>
      </c>
      <c r="O364" t="str">
        <f t="shared" si="26"/>
        <v>Medium</v>
      </c>
      <c r="P364" t="str">
        <f t="shared" si="27"/>
        <v>Healthy</v>
      </c>
      <c r="Q364">
        <f t="shared" si="28"/>
        <v>1</v>
      </c>
      <c r="R364" t="str">
        <f t="shared" si="29"/>
        <v>Good</v>
      </c>
      <c r="S364">
        <f>COUNTIF('Students Social Media Addiction'!O:O,"High")/COUNTA(Table1[Student_ID])</f>
        <v>0.5787234042553191</v>
      </c>
      <c r="T364">
        <f>AVERAGE(Table1[Academic Impact Flag])</f>
        <v>0.64255319148936174</v>
      </c>
      <c r="U364">
        <f>AVERAGE(Table1[Sleep_Hours_Per_Night])</f>
        <v>6.868936170212768</v>
      </c>
      <c r="V364">
        <f>AVERAGE(Table1[Mental_Health_Score])</f>
        <v>6.2269503546099294</v>
      </c>
    </row>
    <row r="365" spans="1:22" x14ac:dyDescent="0.3">
      <c r="A365">
        <v>364</v>
      </c>
      <c r="B365">
        <v>22</v>
      </c>
      <c r="C365" t="s">
        <v>18</v>
      </c>
      <c r="D365" t="s">
        <v>19</v>
      </c>
      <c r="E365" t="s">
        <v>20</v>
      </c>
      <c r="F365">
        <v>6.2</v>
      </c>
      <c r="G365" t="s">
        <v>142</v>
      </c>
      <c r="H365" t="s">
        <v>16</v>
      </c>
      <c r="I365">
        <v>6.1</v>
      </c>
      <c r="J365">
        <v>5</v>
      </c>
      <c r="K365" t="s">
        <v>17</v>
      </c>
      <c r="L365">
        <v>8</v>
      </c>
      <c r="M365" t="str">
        <f>IF(Table1[[#This Row],[Age]]&lt;=18,"Teen",IF(Table1[[#This Row],[Age]]&lt;=21,"Young Adult","Adult"))</f>
        <v>Adult</v>
      </c>
      <c r="N365" t="str">
        <f t="shared" si="25"/>
        <v>Very High</v>
      </c>
      <c r="O365" t="str">
        <f t="shared" si="26"/>
        <v>High</v>
      </c>
      <c r="P365" t="str">
        <f t="shared" si="27"/>
        <v>Average</v>
      </c>
      <c r="Q365">
        <f t="shared" si="28"/>
        <v>1</v>
      </c>
      <c r="R365" t="str">
        <f t="shared" si="29"/>
        <v>Average</v>
      </c>
      <c r="S365">
        <f>COUNTIF('Students Social Media Addiction'!O:O,"High")/COUNTA(Table1[Student_ID])</f>
        <v>0.5787234042553191</v>
      </c>
      <c r="T365">
        <f>AVERAGE(Table1[Academic Impact Flag])</f>
        <v>0.64255319148936174</v>
      </c>
      <c r="U365">
        <f>AVERAGE(Table1[Sleep_Hours_Per_Night])</f>
        <v>6.868936170212768</v>
      </c>
      <c r="V365">
        <f>AVERAGE(Table1[Mental_Health_Score])</f>
        <v>6.2269503546099294</v>
      </c>
    </row>
    <row r="366" spans="1:22" x14ac:dyDescent="0.3">
      <c r="A366">
        <v>365</v>
      </c>
      <c r="B366">
        <v>19</v>
      </c>
      <c r="C366" t="s">
        <v>12</v>
      </c>
      <c r="D366" t="s">
        <v>13</v>
      </c>
      <c r="E366" t="s">
        <v>50</v>
      </c>
      <c r="F366">
        <v>3.5</v>
      </c>
      <c r="G366" t="s">
        <v>15</v>
      </c>
      <c r="H366" t="s">
        <v>22</v>
      </c>
      <c r="I366">
        <v>8.3000000000000007</v>
      </c>
      <c r="J366">
        <v>8</v>
      </c>
      <c r="K366" t="s">
        <v>23</v>
      </c>
      <c r="L366">
        <v>4</v>
      </c>
      <c r="M366" t="str">
        <f>IF(Table1[[#This Row],[Age]]&lt;=18,"Teen",IF(Table1[[#This Row],[Age]]&lt;=21,"Young Adult","Adult"))</f>
        <v>Young Adult</v>
      </c>
      <c r="N366" t="str">
        <f t="shared" si="25"/>
        <v>Moderate</v>
      </c>
      <c r="O366" t="str">
        <f t="shared" si="26"/>
        <v>Medium</v>
      </c>
      <c r="P366" t="str">
        <f t="shared" si="27"/>
        <v>Healthy</v>
      </c>
      <c r="Q366">
        <f t="shared" si="28"/>
        <v>0</v>
      </c>
      <c r="R366" t="str">
        <f t="shared" si="29"/>
        <v>Good</v>
      </c>
      <c r="S366">
        <f>COUNTIF('Students Social Media Addiction'!O:O,"High")/COUNTA(Table1[Student_ID])</f>
        <v>0.5787234042553191</v>
      </c>
      <c r="T366">
        <f>AVERAGE(Table1[Academic Impact Flag])</f>
        <v>0.64255319148936174</v>
      </c>
      <c r="U366">
        <f>AVERAGE(Table1[Sleep_Hours_Per_Night])</f>
        <v>6.868936170212768</v>
      </c>
      <c r="V366">
        <f>AVERAGE(Table1[Mental_Health_Score])</f>
        <v>6.2269503546099294</v>
      </c>
    </row>
    <row r="367" spans="1:22" x14ac:dyDescent="0.3">
      <c r="A367">
        <v>366</v>
      </c>
      <c r="B367">
        <v>21</v>
      </c>
      <c r="C367" t="s">
        <v>18</v>
      </c>
      <c r="D367" t="s">
        <v>19</v>
      </c>
      <c r="E367" t="s">
        <v>64</v>
      </c>
      <c r="F367">
        <v>5.0999999999999996</v>
      </c>
      <c r="G367" t="s">
        <v>15</v>
      </c>
      <c r="H367" t="s">
        <v>16</v>
      </c>
      <c r="I367">
        <v>7.1</v>
      </c>
      <c r="J367">
        <v>6</v>
      </c>
      <c r="K367" t="s">
        <v>23</v>
      </c>
      <c r="L367">
        <v>7</v>
      </c>
      <c r="M367" t="str">
        <f>IF(Table1[[#This Row],[Age]]&lt;=18,"Teen",IF(Table1[[#This Row],[Age]]&lt;=21,"Young Adult","Adult"))</f>
        <v>Young Adult</v>
      </c>
      <c r="N367" t="str">
        <f t="shared" si="25"/>
        <v>High</v>
      </c>
      <c r="O367" t="str">
        <f t="shared" si="26"/>
        <v>High</v>
      </c>
      <c r="P367" t="str">
        <f t="shared" si="27"/>
        <v>Healthy</v>
      </c>
      <c r="Q367">
        <f t="shared" si="28"/>
        <v>1</v>
      </c>
      <c r="R367" t="str">
        <f t="shared" si="29"/>
        <v>Average</v>
      </c>
      <c r="S367">
        <f>COUNTIF('Students Social Media Addiction'!O:O,"High")/COUNTA(Table1[Student_ID])</f>
        <v>0.5787234042553191</v>
      </c>
      <c r="T367">
        <f>AVERAGE(Table1[Academic Impact Flag])</f>
        <v>0.64255319148936174</v>
      </c>
      <c r="U367">
        <f>AVERAGE(Table1[Sleep_Hours_Per_Night])</f>
        <v>6.868936170212768</v>
      </c>
      <c r="V367">
        <f>AVERAGE(Table1[Mental_Health_Score])</f>
        <v>6.2269503546099294</v>
      </c>
    </row>
    <row r="368" spans="1:22" x14ac:dyDescent="0.3">
      <c r="A368">
        <v>367</v>
      </c>
      <c r="B368">
        <v>20</v>
      </c>
      <c r="C368" t="s">
        <v>12</v>
      </c>
      <c r="D368" t="s">
        <v>13</v>
      </c>
      <c r="E368" t="s">
        <v>24</v>
      </c>
      <c r="F368">
        <v>7.2</v>
      </c>
      <c r="G368" t="s">
        <v>25</v>
      </c>
      <c r="H368" t="s">
        <v>16</v>
      </c>
      <c r="I368">
        <v>5.0999999999999996</v>
      </c>
      <c r="J368">
        <v>5</v>
      </c>
      <c r="K368" t="s">
        <v>17</v>
      </c>
      <c r="L368">
        <v>9</v>
      </c>
      <c r="M368" t="str">
        <f>IF(Table1[[#This Row],[Age]]&lt;=18,"Teen",IF(Table1[[#This Row],[Age]]&lt;=21,"Young Adult","Adult"))</f>
        <v>Young Adult</v>
      </c>
      <c r="N368" t="str">
        <f t="shared" si="25"/>
        <v>Very High</v>
      </c>
      <c r="O368" t="str">
        <f t="shared" si="26"/>
        <v>High</v>
      </c>
      <c r="P368" t="str">
        <f t="shared" si="27"/>
        <v>Poor</v>
      </c>
      <c r="Q368">
        <f t="shared" si="28"/>
        <v>1</v>
      </c>
      <c r="R368" t="str">
        <f t="shared" si="29"/>
        <v>Average</v>
      </c>
      <c r="S368">
        <f>COUNTIF('Students Social Media Addiction'!O:O,"High")/COUNTA(Table1[Student_ID])</f>
        <v>0.5787234042553191</v>
      </c>
      <c r="T368">
        <f>AVERAGE(Table1[Academic Impact Flag])</f>
        <v>0.64255319148936174</v>
      </c>
      <c r="U368">
        <f>AVERAGE(Table1[Sleep_Hours_Per_Night])</f>
        <v>6.868936170212768</v>
      </c>
      <c r="V368">
        <f>AVERAGE(Table1[Mental_Health_Score])</f>
        <v>6.2269503546099294</v>
      </c>
    </row>
    <row r="369" spans="1:22" x14ac:dyDescent="0.3">
      <c r="A369">
        <v>368</v>
      </c>
      <c r="B369">
        <v>22</v>
      </c>
      <c r="C369" t="s">
        <v>18</v>
      </c>
      <c r="D369" t="s">
        <v>19</v>
      </c>
      <c r="E369" t="s">
        <v>42</v>
      </c>
      <c r="F369">
        <v>6</v>
      </c>
      <c r="G369" t="s">
        <v>142</v>
      </c>
      <c r="H369" t="s">
        <v>16</v>
      </c>
      <c r="I369">
        <v>6.2</v>
      </c>
      <c r="J369">
        <v>6</v>
      </c>
      <c r="K369" t="s">
        <v>23</v>
      </c>
      <c r="L369">
        <v>7</v>
      </c>
      <c r="M369" t="str">
        <f>IF(Table1[[#This Row],[Age]]&lt;=18,"Teen",IF(Table1[[#This Row],[Age]]&lt;=21,"Young Adult","Adult"))</f>
        <v>Adult</v>
      </c>
      <c r="N369" t="str">
        <f t="shared" si="25"/>
        <v>Very High</v>
      </c>
      <c r="O369" t="str">
        <f t="shared" si="26"/>
        <v>High</v>
      </c>
      <c r="P369" t="str">
        <f t="shared" si="27"/>
        <v>Average</v>
      </c>
      <c r="Q369">
        <f t="shared" si="28"/>
        <v>1</v>
      </c>
      <c r="R369" t="str">
        <f t="shared" si="29"/>
        <v>Average</v>
      </c>
      <c r="S369">
        <f>COUNTIF('Students Social Media Addiction'!O:O,"High")/COUNTA(Table1[Student_ID])</f>
        <v>0.5787234042553191</v>
      </c>
      <c r="T369">
        <f>AVERAGE(Table1[Academic Impact Flag])</f>
        <v>0.64255319148936174</v>
      </c>
      <c r="U369">
        <f>AVERAGE(Table1[Sleep_Hours_Per_Night])</f>
        <v>6.868936170212768</v>
      </c>
      <c r="V369">
        <f>AVERAGE(Table1[Mental_Health_Score])</f>
        <v>6.2269503546099294</v>
      </c>
    </row>
    <row r="370" spans="1:22" x14ac:dyDescent="0.3">
      <c r="A370">
        <v>369</v>
      </c>
      <c r="B370">
        <v>19</v>
      </c>
      <c r="C370" t="s">
        <v>12</v>
      </c>
      <c r="D370" t="s">
        <v>13</v>
      </c>
      <c r="E370" t="s">
        <v>39</v>
      </c>
      <c r="F370">
        <v>4.0999999999999996</v>
      </c>
      <c r="G370" t="s">
        <v>15</v>
      </c>
      <c r="H370" t="s">
        <v>22</v>
      </c>
      <c r="I370">
        <v>7.9</v>
      </c>
      <c r="J370">
        <v>7</v>
      </c>
      <c r="K370" t="s">
        <v>17</v>
      </c>
      <c r="L370">
        <v>5</v>
      </c>
      <c r="M370" t="str">
        <f>IF(Table1[[#This Row],[Age]]&lt;=18,"Teen",IF(Table1[[#This Row],[Age]]&lt;=21,"Young Adult","Adult"))</f>
        <v>Young Adult</v>
      </c>
      <c r="N370" t="str">
        <f t="shared" si="25"/>
        <v>High</v>
      </c>
      <c r="O370" t="str">
        <f t="shared" si="26"/>
        <v>Medium</v>
      </c>
      <c r="P370" t="str">
        <f t="shared" si="27"/>
        <v>Healthy</v>
      </c>
      <c r="Q370">
        <f t="shared" si="28"/>
        <v>0</v>
      </c>
      <c r="R370" t="str">
        <f t="shared" si="29"/>
        <v>Good</v>
      </c>
      <c r="S370">
        <f>COUNTIF('Students Social Media Addiction'!O:O,"High")/COUNTA(Table1[Student_ID])</f>
        <v>0.5787234042553191</v>
      </c>
      <c r="T370">
        <f>AVERAGE(Table1[Academic Impact Flag])</f>
        <v>0.64255319148936174</v>
      </c>
      <c r="U370">
        <f>AVERAGE(Table1[Sleep_Hours_Per_Night])</f>
        <v>6.868936170212768</v>
      </c>
      <c r="V370">
        <f>AVERAGE(Table1[Mental_Health_Score])</f>
        <v>6.2269503546099294</v>
      </c>
    </row>
    <row r="371" spans="1:22" x14ac:dyDescent="0.3">
      <c r="A371">
        <v>370</v>
      </c>
      <c r="B371">
        <v>21</v>
      </c>
      <c r="C371" t="s">
        <v>18</v>
      </c>
      <c r="D371" t="s">
        <v>19</v>
      </c>
      <c r="E371" t="s">
        <v>30</v>
      </c>
      <c r="F371">
        <v>4.9000000000000004</v>
      </c>
      <c r="G371" t="s">
        <v>15</v>
      </c>
      <c r="H371" t="s">
        <v>16</v>
      </c>
      <c r="I371">
        <v>7.3</v>
      </c>
      <c r="J371">
        <v>6</v>
      </c>
      <c r="K371" t="s">
        <v>23</v>
      </c>
      <c r="L371">
        <v>7</v>
      </c>
      <c r="M371" t="str">
        <f>IF(Table1[[#This Row],[Age]]&lt;=18,"Teen",IF(Table1[[#This Row],[Age]]&lt;=21,"Young Adult","Adult"))</f>
        <v>Young Adult</v>
      </c>
      <c r="N371" t="str">
        <f t="shared" si="25"/>
        <v>High</v>
      </c>
      <c r="O371" t="str">
        <f t="shared" si="26"/>
        <v>High</v>
      </c>
      <c r="P371" t="str">
        <f t="shared" si="27"/>
        <v>Healthy</v>
      </c>
      <c r="Q371">
        <f t="shared" si="28"/>
        <v>1</v>
      </c>
      <c r="R371" t="str">
        <f t="shared" si="29"/>
        <v>Average</v>
      </c>
      <c r="S371">
        <f>COUNTIF('Students Social Media Addiction'!O:O,"High")/COUNTA(Table1[Student_ID])</f>
        <v>0.5787234042553191</v>
      </c>
      <c r="T371">
        <f>AVERAGE(Table1[Academic Impact Flag])</f>
        <v>0.64255319148936174</v>
      </c>
      <c r="U371">
        <f>AVERAGE(Table1[Sleep_Hours_Per_Night])</f>
        <v>6.868936170212768</v>
      </c>
      <c r="V371">
        <f>AVERAGE(Table1[Mental_Health_Score])</f>
        <v>6.2269503546099294</v>
      </c>
    </row>
    <row r="372" spans="1:22" x14ac:dyDescent="0.3">
      <c r="A372">
        <v>371</v>
      </c>
      <c r="B372">
        <v>20</v>
      </c>
      <c r="C372" t="s">
        <v>12</v>
      </c>
      <c r="D372" t="s">
        <v>13</v>
      </c>
      <c r="E372" t="s">
        <v>40</v>
      </c>
      <c r="F372">
        <v>4.7</v>
      </c>
      <c r="G372" t="s">
        <v>25</v>
      </c>
      <c r="H372" t="s">
        <v>16</v>
      </c>
      <c r="I372">
        <v>7.2</v>
      </c>
      <c r="J372">
        <v>6</v>
      </c>
      <c r="K372" t="s">
        <v>23</v>
      </c>
      <c r="L372">
        <v>7</v>
      </c>
      <c r="M372" t="str">
        <f>IF(Table1[[#This Row],[Age]]&lt;=18,"Teen",IF(Table1[[#This Row],[Age]]&lt;=21,"Young Adult","Adult"))</f>
        <v>Young Adult</v>
      </c>
      <c r="N372" t="str">
        <f t="shared" si="25"/>
        <v>High</v>
      </c>
      <c r="O372" t="str">
        <f t="shared" si="26"/>
        <v>High</v>
      </c>
      <c r="P372" t="str">
        <f t="shared" si="27"/>
        <v>Healthy</v>
      </c>
      <c r="Q372">
        <f t="shared" si="28"/>
        <v>1</v>
      </c>
      <c r="R372" t="str">
        <f t="shared" si="29"/>
        <v>Average</v>
      </c>
      <c r="S372">
        <f>COUNTIF('Students Social Media Addiction'!O:O,"High")/COUNTA(Table1[Student_ID])</f>
        <v>0.5787234042553191</v>
      </c>
      <c r="T372">
        <f>AVERAGE(Table1[Academic Impact Flag])</f>
        <v>0.64255319148936174</v>
      </c>
      <c r="U372">
        <f>AVERAGE(Table1[Sleep_Hours_Per_Night])</f>
        <v>6.868936170212768</v>
      </c>
      <c r="V372">
        <f>AVERAGE(Table1[Mental_Health_Score])</f>
        <v>6.2269503546099294</v>
      </c>
    </row>
    <row r="373" spans="1:22" x14ac:dyDescent="0.3">
      <c r="A373">
        <v>372</v>
      </c>
      <c r="B373">
        <v>22</v>
      </c>
      <c r="C373" t="s">
        <v>18</v>
      </c>
      <c r="D373" t="s">
        <v>19</v>
      </c>
      <c r="E373" t="s">
        <v>47</v>
      </c>
      <c r="F373">
        <v>3.5</v>
      </c>
      <c r="G373" t="s">
        <v>31</v>
      </c>
      <c r="H373" t="s">
        <v>22</v>
      </c>
      <c r="I373">
        <v>8.3000000000000007</v>
      </c>
      <c r="J373">
        <v>8</v>
      </c>
      <c r="K373" t="s">
        <v>17</v>
      </c>
      <c r="L373">
        <v>4</v>
      </c>
      <c r="M373" t="str">
        <f>IF(Table1[[#This Row],[Age]]&lt;=18,"Teen",IF(Table1[[#This Row],[Age]]&lt;=21,"Young Adult","Adult"))</f>
        <v>Adult</v>
      </c>
      <c r="N373" t="str">
        <f t="shared" si="25"/>
        <v>Moderate</v>
      </c>
      <c r="O373" t="str">
        <f t="shared" si="26"/>
        <v>Medium</v>
      </c>
      <c r="P373" t="str">
        <f t="shared" si="27"/>
        <v>Healthy</v>
      </c>
      <c r="Q373">
        <f t="shared" si="28"/>
        <v>0</v>
      </c>
      <c r="R373" t="str">
        <f t="shared" si="29"/>
        <v>Good</v>
      </c>
      <c r="S373">
        <f>COUNTIF('Students Social Media Addiction'!O:O,"High")/COUNTA(Table1[Student_ID])</f>
        <v>0.5787234042553191</v>
      </c>
      <c r="T373">
        <f>AVERAGE(Table1[Academic Impact Flag])</f>
        <v>0.64255319148936174</v>
      </c>
      <c r="U373">
        <f>AVERAGE(Table1[Sleep_Hours_Per_Night])</f>
        <v>6.868936170212768</v>
      </c>
      <c r="V373">
        <f>AVERAGE(Table1[Mental_Health_Score])</f>
        <v>6.2269503546099294</v>
      </c>
    </row>
    <row r="374" spans="1:22" x14ac:dyDescent="0.3">
      <c r="A374">
        <v>373</v>
      </c>
      <c r="B374">
        <v>19</v>
      </c>
      <c r="C374" t="s">
        <v>12</v>
      </c>
      <c r="D374" t="s">
        <v>13</v>
      </c>
      <c r="E374" t="s">
        <v>54</v>
      </c>
      <c r="F374">
        <v>4.4000000000000004</v>
      </c>
      <c r="G374" t="s">
        <v>15</v>
      </c>
      <c r="H374" t="s">
        <v>16</v>
      </c>
      <c r="I374">
        <v>7.5</v>
      </c>
      <c r="J374">
        <v>7</v>
      </c>
      <c r="K374" t="s">
        <v>23</v>
      </c>
      <c r="L374">
        <v>6</v>
      </c>
      <c r="M374" t="str">
        <f>IF(Table1[[#This Row],[Age]]&lt;=18,"Teen",IF(Table1[[#This Row],[Age]]&lt;=21,"Young Adult","Adult"))</f>
        <v>Young Adult</v>
      </c>
      <c r="N374" t="str">
        <f t="shared" si="25"/>
        <v>High</v>
      </c>
      <c r="O374" t="str">
        <f t="shared" si="26"/>
        <v>Medium</v>
      </c>
      <c r="P374" t="str">
        <f t="shared" si="27"/>
        <v>Healthy</v>
      </c>
      <c r="Q374">
        <f t="shared" si="28"/>
        <v>1</v>
      </c>
      <c r="R374" t="str">
        <f t="shared" si="29"/>
        <v>Good</v>
      </c>
      <c r="S374">
        <f>COUNTIF('Students Social Media Addiction'!O:O,"High")/COUNTA(Table1[Student_ID])</f>
        <v>0.5787234042553191</v>
      </c>
      <c r="T374">
        <f>AVERAGE(Table1[Academic Impact Flag])</f>
        <v>0.64255319148936174</v>
      </c>
      <c r="U374">
        <f>AVERAGE(Table1[Sleep_Hours_Per_Night])</f>
        <v>6.868936170212768</v>
      </c>
      <c r="V374">
        <f>AVERAGE(Table1[Mental_Health_Score])</f>
        <v>6.2269503546099294</v>
      </c>
    </row>
    <row r="375" spans="1:22" x14ac:dyDescent="0.3">
      <c r="A375">
        <v>374</v>
      </c>
      <c r="B375">
        <v>21</v>
      </c>
      <c r="C375" t="s">
        <v>18</v>
      </c>
      <c r="D375" t="s">
        <v>19</v>
      </c>
      <c r="E375" t="s">
        <v>20</v>
      </c>
      <c r="F375">
        <v>6.3</v>
      </c>
      <c r="G375" t="s">
        <v>142</v>
      </c>
      <c r="H375" t="s">
        <v>16</v>
      </c>
      <c r="I375">
        <v>6</v>
      </c>
      <c r="J375">
        <v>5</v>
      </c>
      <c r="K375" t="s">
        <v>17</v>
      </c>
      <c r="L375">
        <v>8</v>
      </c>
      <c r="M375" t="str">
        <f>IF(Table1[[#This Row],[Age]]&lt;=18,"Teen",IF(Table1[[#This Row],[Age]]&lt;=21,"Young Adult","Adult"))</f>
        <v>Young Adult</v>
      </c>
      <c r="N375" t="str">
        <f t="shared" si="25"/>
        <v>Very High</v>
      </c>
      <c r="O375" t="str">
        <f t="shared" si="26"/>
        <v>High</v>
      </c>
      <c r="P375" t="str">
        <f t="shared" si="27"/>
        <v>Average</v>
      </c>
      <c r="Q375">
        <f t="shared" si="28"/>
        <v>1</v>
      </c>
      <c r="R375" t="str">
        <f t="shared" si="29"/>
        <v>Average</v>
      </c>
      <c r="S375">
        <f>COUNTIF('Students Social Media Addiction'!O:O,"High")/COUNTA(Table1[Student_ID])</f>
        <v>0.5787234042553191</v>
      </c>
      <c r="T375">
        <f>AVERAGE(Table1[Academic Impact Flag])</f>
        <v>0.64255319148936174</v>
      </c>
      <c r="U375">
        <f>AVERAGE(Table1[Sleep_Hours_Per_Night])</f>
        <v>6.868936170212768</v>
      </c>
      <c r="V375">
        <f>AVERAGE(Table1[Mental_Health_Score])</f>
        <v>6.2269503546099294</v>
      </c>
    </row>
    <row r="376" spans="1:22" x14ac:dyDescent="0.3">
      <c r="A376">
        <v>375</v>
      </c>
      <c r="B376">
        <v>20</v>
      </c>
      <c r="C376" t="s">
        <v>12</v>
      </c>
      <c r="D376" t="s">
        <v>13</v>
      </c>
      <c r="E376" t="s">
        <v>50</v>
      </c>
      <c r="F376">
        <v>3.4</v>
      </c>
      <c r="G376" t="s">
        <v>15</v>
      </c>
      <c r="H376" t="s">
        <v>22</v>
      </c>
      <c r="I376">
        <v>8.4</v>
      </c>
      <c r="J376">
        <v>8</v>
      </c>
      <c r="K376" t="s">
        <v>23</v>
      </c>
      <c r="L376">
        <v>4</v>
      </c>
      <c r="M376" t="str">
        <f>IF(Table1[[#This Row],[Age]]&lt;=18,"Teen",IF(Table1[[#This Row],[Age]]&lt;=21,"Young Adult","Adult"))</f>
        <v>Young Adult</v>
      </c>
      <c r="N376" t="str">
        <f t="shared" si="25"/>
        <v>Moderate</v>
      </c>
      <c r="O376" t="str">
        <f t="shared" si="26"/>
        <v>Medium</v>
      </c>
      <c r="P376" t="str">
        <f t="shared" si="27"/>
        <v>Healthy</v>
      </c>
      <c r="Q376">
        <f t="shared" si="28"/>
        <v>0</v>
      </c>
      <c r="R376" t="str">
        <f t="shared" si="29"/>
        <v>Good</v>
      </c>
      <c r="S376">
        <f>COUNTIF('Students Social Media Addiction'!O:O,"High")/COUNTA(Table1[Student_ID])</f>
        <v>0.5787234042553191</v>
      </c>
      <c r="T376">
        <f>AVERAGE(Table1[Academic Impact Flag])</f>
        <v>0.64255319148936174</v>
      </c>
      <c r="U376">
        <f>AVERAGE(Table1[Sleep_Hours_Per_Night])</f>
        <v>6.868936170212768</v>
      </c>
      <c r="V376">
        <f>AVERAGE(Table1[Mental_Health_Score])</f>
        <v>6.2269503546099294</v>
      </c>
    </row>
    <row r="377" spans="1:22" x14ac:dyDescent="0.3">
      <c r="A377">
        <v>376</v>
      </c>
      <c r="B377">
        <v>22</v>
      </c>
      <c r="C377" t="s">
        <v>18</v>
      </c>
      <c r="D377" t="s">
        <v>19</v>
      </c>
      <c r="E377" t="s">
        <v>64</v>
      </c>
      <c r="F377">
        <v>5</v>
      </c>
      <c r="G377" t="s">
        <v>25</v>
      </c>
      <c r="H377" t="s">
        <v>16</v>
      </c>
      <c r="I377">
        <v>7.2</v>
      </c>
      <c r="J377">
        <v>6</v>
      </c>
      <c r="K377" t="s">
        <v>23</v>
      </c>
      <c r="L377">
        <v>7</v>
      </c>
      <c r="M377" t="str">
        <f>IF(Table1[[#This Row],[Age]]&lt;=18,"Teen",IF(Table1[[#This Row],[Age]]&lt;=21,"Young Adult","Adult"))</f>
        <v>Adult</v>
      </c>
      <c r="N377" t="str">
        <f t="shared" si="25"/>
        <v>High</v>
      </c>
      <c r="O377" t="str">
        <f t="shared" si="26"/>
        <v>High</v>
      </c>
      <c r="P377" t="str">
        <f t="shared" si="27"/>
        <v>Healthy</v>
      </c>
      <c r="Q377">
        <f t="shared" si="28"/>
        <v>1</v>
      </c>
      <c r="R377" t="str">
        <f t="shared" si="29"/>
        <v>Average</v>
      </c>
      <c r="S377">
        <f>COUNTIF('Students Social Media Addiction'!O:O,"High")/COUNTA(Table1[Student_ID])</f>
        <v>0.5787234042553191</v>
      </c>
      <c r="T377">
        <f>AVERAGE(Table1[Academic Impact Flag])</f>
        <v>0.64255319148936174</v>
      </c>
      <c r="U377">
        <f>AVERAGE(Table1[Sleep_Hours_Per_Night])</f>
        <v>6.868936170212768</v>
      </c>
      <c r="V377">
        <f>AVERAGE(Table1[Mental_Health_Score])</f>
        <v>6.2269503546099294</v>
      </c>
    </row>
    <row r="378" spans="1:22" x14ac:dyDescent="0.3">
      <c r="A378">
        <v>377</v>
      </c>
      <c r="B378">
        <v>19</v>
      </c>
      <c r="C378" t="s">
        <v>12</v>
      </c>
      <c r="D378" t="s">
        <v>13</v>
      </c>
      <c r="E378" t="s">
        <v>24</v>
      </c>
      <c r="F378">
        <v>7.3</v>
      </c>
      <c r="G378" t="s">
        <v>15</v>
      </c>
      <c r="H378" t="s">
        <v>16</v>
      </c>
      <c r="I378">
        <v>5</v>
      </c>
      <c r="J378">
        <v>5</v>
      </c>
      <c r="K378" t="s">
        <v>17</v>
      </c>
      <c r="L378">
        <v>9</v>
      </c>
      <c r="M378" t="str">
        <f>IF(Table1[[#This Row],[Age]]&lt;=18,"Teen",IF(Table1[[#This Row],[Age]]&lt;=21,"Young Adult","Adult"))</f>
        <v>Young Adult</v>
      </c>
      <c r="N378" t="str">
        <f t="shared" si="25"/>
        <v>Very High</v>
      </c>
      <c r="O378" t="str">
        <f t="shared" si="26"/>
        <v>High</v>
      </c>
      <c r="P378" t="str">
        <f t="shared" si="27"/>
        <v>Poor</v>
      </c>
      <c r="Q378">
        <f t="shared" si="28"/>
        <v>1</v>
      </c>
      <c r="R378" t="str">
        <f t="shared" si="29"/>
        <v>Average</v>
      </c>
      <c r="S378">
        <f>COUNTIF('Students Social Media Addiction'!O:O,"High")/COUNTA(Table1[Student_ID])</f>
        <v>0.5787234042553191</v>
      </c>
      <c r="T378">
        <f>AVERAGE(Table1[Academic Impact Flag])</f>
        <v>0.64255319148936174</v>
      </c>
      <c r="U378">
        <f>AVERAGE(Table1[Sleep_Hours_Per_Night])</f>
        <v>6.868936170212768</v>
      </c>
      <c r="V378">
        <f>AVERAGE(Table1[Mental_Health_Score])</f>
        <v>6.2269503546099294</v>
      </c>
    </row>
    <row r="379" spans="1:22" x14ac:dyDescent="0.3">
      <c r="A379">
        <v>378</v>
      </c>
      <c r="B379">
        <v>21</v>
      </c>
      <c r="C379" t="s">
        <v>18</v>
      </c>
      <c r="D379" t="s">
        <v>19</v>
      </c>
      <c r="E379" t="s">
        <v>42</v>
      </c>
      <c r="F379">
        <v>6.1</v>
      </c>
      <c r="G379" t="s">
        <v>142</v>
      </c>
      <c r="H379" t="s">
        <v>16</v>
      </c>
      <c r="I379">
        <v>6.1</v>
      </c>
      <c r="J379">
        <v>6</v>
      </c>
      <c r="K379" t="s">
        <v>23</v>
      </c>
      <c r="L379">
        <v>7</v>
      </c>
      <c r="M379" t="str">
        <f>IF(Table1[[#This Row],[Age]]&lt;=18,"Teen",IF(Table1[[#This Row],[Age]]&lt;=21,"Young Adult","Adult"))</f>
        <v>Young Adult</v>
      </c>
      <c r="N379" t="str">
        <f t="shared" si="25"/>
        <v>Very High</v>
      </c>
      <c r="O379" t="str">
        <f t="shared" si="26"/>
        <v>High</v>
      </c>
      <c r="P379" t="str">
        <f t="shared" si="27"/>
        <v>Average</v>
      </c>
      <c r="Q379">
        <f t="shared" si="28"/>
        <v>1</v>
      </c>
      <c r="R379" t="str">
        <f t="shared" si="29"/>
        <v>Average</v>
      </c>
      <c r="S379">
        <f>COUNTIF('Students Social Media Addiction'!O:O,"High")/COUNTA(Table1[Student_ID])</f>
        <v>0.5787234042553191</v>
      </c>
      <c r="T379">
        <f>AVERAGE(Table1[Academic Impact Flag])</f>
        <v>0.64255319148936174</v>
      </c>
      <c r="U379">
        <f>AVERAGE(Table1[Sleep_Hours_Per_Night])</f>
        <v>6.868936170212768</v>
      </c>
      <c r="V379">
        <f>AVERAGE(Table1[Mental_Health_Score])</f>
        <v>6.2269503546099294</v>
      </c>
    </row>
    <row r="380" spans="1:22" x14ac:dyDescent="0.3">
      <c r="A380">
        <v>379</v>
      </c>
      <c r="B380">
        <v>20</v>
      </c>
      <c r="C380" t="s">
        <v>12</v>
      </c>
      <c r="D380" t="s">
        <v>13</v>
      </c>
      <c r="E380" t="s">
        <v>39</v>
      </c>
      <c r="F380">
        <v>4</v>
      </c>
      <c r="G380" t="s">
        <v>15</v>
      </c>
      <c r="H380" t="s">
        <v>22</v>
      </c>
      <c r="I380">
        <v>8</v>
      </c>
      <c r="J380">
        <v>7</v>
      </c>
      <c r="K380" t="s">
        <v>17</v>
      </c>
      <c r="L380">
        <v>5</v>
      </c>
      <c r="M380" t="str">
        <f>IF(Table1[[#This Row],[Age]]&lt;=18,"Teen",IF(Table1[[#This Row],[Age]]&lt;=21,"Young Adult","Adult"))</f>
        <v>Young Adult</v>
      </c>
      <c r="N380" t="str">
        <f t="shared" si="25"/>
        <v>High</v>
      </c>
      <c r="O380" t="str">
        <f t="shared" si="26"/>
        <v>Medium</v>
      </c>
      <c r="P380" t="str">
        <f t="shared" si="27"/>
        <v>Healthy</v>
      </c>
      <c r="Q380">
        <f t="shared" si="28"/>
        <v>0</v>
      </c>
      <c r="R380" t="str">
        <f t="shared" si="29"/>
        <v>Good</v>
      </c>
      <c r="S380">
        <f>COUNTIF('Students Social Media Addiction'!O:O,"High")/COUNTA(Table1[Student_ID])</f>
        <v>0.5787234042553191</v>
      </c>
      <c r="T380">
        <f>AVERAGE(Table1[Academic Impact Flag])</f>
        <v>0.64255319148936174</v>
      </c>
      <c r="U380">
        <f>AVERAGE(Table1[Sleep_Hours_Per_Night])</f>
        <v>6.868936170212768</v>
      </c>
      <c r="V380">
        <f>AVERAGE(Table1[Mental_Health_Score])</f>
        <v>6.2269503546099294</v>
      </c>
    </row>
    <row r="381" spans="1:22" x14ac:dyDescent="0.3">
      <c r="A381">
        <v>380</v>
      </c>
      <c r="B381">
        <v>22</v>
      </c>
      <c r="C381" t="s">
        <v>18</v>
      </c>
      <c r="D381" t="s">
        <v>19</v>
      </c>
      <c r="E381" t="s">
        <v>30</v>
      </c>
      <c r="F381">
        <v>4.8</v>
      </c>
      <c r="G381" t="s">
        <v>25</v>
      </c>
      <c r="H381" t="s">
        <v>16</v>
      </c>
      <c r="I381">
        <v>7.4</v>
      </c>
      <c r="J381">
        <v>6</v>
      </c>
      <c r="K381" t="s">
        <v>23</v>
      </c>
      <c r="L381">
        <v>7</v>
      </c>
      <c r="M381" t="str">
        <f>IF(Table1[[#This Row],[Age]]&lt;=18,"Teen",IF(Table1[[#This Row],[Age]]&lt;=21,"Young Adult","Adult"))</f>
        <v>Adult</v>
      </c>
      <c r="N381" t="str">
        <f t="shared" si="25"/>
        <v>High</v>
      </c>
      <c r="O381" t="str">
        <f t="shared" si="26"/>
        <v>High</v>
      </c>
      <c r="P381" t="str">
        <f t="shared" si="27"/>
        <v>Healthy</v>
      </c>
      <c r="Q381">
        <f t="shared" si="28"/>
        <v>1</v>
      </c>
      <c r="R381" t="str">
        <f t="shared" si="29"/>
        <v>Average</v>
      </c>
      <c r="S381">
        <f>COUNTIF('Students Social Media Addiction'!O:O,"High")/COUNTA(Table1[Student_ID])</f>
        <v>0.5787234042553191</v>
      </c>
      <c r="T381">
        <f>AVERAGE(Table1[Academic Impact Flag])</f>
        <v>0.64255319148936174</v>
      </c>
      <c r="U381">
        <f>AVERAGE(Table1[Sleep_Hours_Per_Night])</f>
        <v>6.868936170212768</v>
      </c>
      <c r="V381">
        <f>AVERAGE(Table1[Mental_Health_Score])</f>
        <v>6.2269503546099294</v>
      </c>
    </row>
    <row r="382" spans="1:22" x14ac:dyDescent="0.3">
      <c r="A382">
        <v>381</v>
      </c>
      <c r="B382">
        <v>19</v>
      </c>
      <c r="C382" t="s">
        <v>12</v>
      </c>
      <c r="D382" t="s">
        <v>13</v>
      </c>
      <c r="E382" t="s">
        <v>40</v>
      </c>
      <c r="F382">
        <v>4.5999999999999996</v>
      </c>
      <c r="G382" t="s">
        <v>15</v>
      </c>
      <c r="H382" t="s">
        <v>16</v>
      </c>
      <c r="I382">
        <v>7.3</v>
      </c>
      <c r="J382">
        <v>6</v>
      </c>
      <c r="K382" t="s">
        <v>23</v>
      </c>
      <c r="L382">
        <v>7</v>
      </c>
      <c r="M382" t="str">
        <f>IF(Table1[[#This Row],[Age]]&lt;=18,"Teen",IF(Table1[[#This Row],[Age]]&lt;=21,"Young Adult","Adult"))</f>
        <v>Young Adult</v>
      </c>
      <c r="N382" t="str">
        <f t="shared" si="25"/>
        <v>High</v>
      </c>
      <c r="O382" t="str">
        <f t="shared" si="26"/>
        <v>High</v>
      </c>
      <c r="P382" t="str">
        <f t="shared" si="27"/>
        <v>Healthy</v>
      </c>
      <c r="Q382">
        <f t="shared" si="28"/>
        <v>1</v>
      </c>
      <c r="R382" t="str">
        <f t="shared" si="29"/>
        <v>Average</v>
      </c>
      <c r="S382">
        <f>COUNTIF('Students Social Media Addiction'!O:O,"High")/COUNTA(Table1[Student_ID])</f>
        <v>0.5787234042553191</v>
      </c>
      <c r="T382">
        <f>AVERAGE(Table1[Academic Impact Flag])</f>
        <v>0.64255319148936174</v>
      </c>
      <c r="U382">
        <f>AVERAGE(Table1[Sleep_Hours_Per_Night])</f>
        <v>6.868936170212768</v>
      </c>
      <c r="V382">
        <f>AVERAGE(Table1[Mental_Health_Score])</f>
        <v>6.2269503546099294</v>
      </c>
    </row>
    <row r="383" spans="1:22" x14ac:dyDescent="0.3">
      <c r="A383">
        <v>382</v>
      </c>
      <c r="B383">
        <v>21</v>
      </c>
      <c r="C383" t="s">
        <v>18</v>
      </c>
      <c r="D383" t="s">
        <v>19</v>
      </c>
      <c r="E383" t="s">
        <v>47</v>
      </c>
      <c r="F383">
        <v>3.4</v>
      </c>
      <c r="G383" t="s">
        <v>31</v>
      </c>
      <c r="H383" t="s">
        <v>22</v>
      </c>
      <c r="I383">
        <v>8.4</v>
      </c>
      <c r="J383">
        <v>8</v>
      </c>
      <c r="K383" t="s">
        <v>17</v>
      </c>
      <c r="L383">
        <v>4</v>
      </c>
      <c r="M383" t="str">
        <f>IF(Table1[[#This Row],[Age]]&lt;=18,"Teen",IF(Table1[[#This Row],[Age]]&lt;=21,"Young Adult","Adult"))</f>
        <v>Young Adult</v>
      </c>
      <c r="N383" t="str">
        <f t="shared" si="25"/>
        <v>Moderate</v>
      </c>
      <c r="O383" t="str">
        <f t="shared" si="26"/>
        <v>Medium</v>
      </c>
      <c r="P383" t="str">
        <f t="shared" si="27"/>
        <v>Healthy</v>
      </c>
      <c r="Q383">
        <f t="shared" si="28"/>
        <v>0</v>
      </c>
      <c r="R383" t="str">
        <f t="shared" si="29"/>
        <v>Good</v>
      </c>
      <c r="S383">
        <f>COUNTIF('Students Social Media Addiction'!O:O,"High")/COUNTA(Table1[Student_ID])</f>
        <v>0.5787234042553191</v>
      </c>
      <c r="T383">
        <f>AVERAGE(Table1[Academic Impact Flag])</f>
        <v>0.64255319148936174</v>
      </c>
      <c r="U383">
        <f>AVERAGE(Table1[Sleep_Hours_Per_Night])</f>
        <v>6.868936170212768</v>
      </c>
      <c r="V383">
        <f>AVERAGE(Table1[Mental_Health_Score])</f>
        <v>6.2269503546099294</v>
      </c>
    </row>
    <row r="384" spans="1:22" x14ac:dyDescent="0.3">
      <c r="A384">
        <v>383</v>
      </c>
      <c r="B384">
        <v>20</v>
      </c>
      <c r="C384" t="s">
        <v>12</v>
      </c>
      <c r="D384" t="s">
        <v>13</v>
      </c>
      <c r="E384" t="s">
        <v>54</v>
      </c>
      <c r="F384">
        <v>4.3</v>
      </c>
      <c r="G384" t="s">
        <v>25</v>
      </c>
      <c r="H384" t="s">
        <v>16</v>
      </c>
      <c r="I384">
        <v>7.6</v>
      </c>
      <c r="J384">
        <v>7</v>
      </c>
      <c r="K384" t="s">
        <v>23</v>
      </c>
      <c r="L384">
        <v>6</v>
      </c>
      <c r="M384" t="str">
        <f>IF(Table1[[#This Row],[Age]]&lt;=18,"Teen",IF(Table1[[#This Row],[Age]]&lt;=21,"Young Adult","Adult"))</f>
        <v>Young Adult</v>
      </c>
      <c r="N384" t="str">
        <f t="shared" si="25"/>
        <v>High</v>
      </c>
      <c r="O384" t="str">
        <f t="shared" si="26"/>
        <v>Medium</v>
      </c>
      <c r="P384" t="str">
        <f t="shared" si="27"/>
        <v>Healthy</v>
      </c>
      <c r="Q384">
        <f t="shared" si="28"/>
        <v>1</v>
      </c>
      <c r="R384" t="str">
        <f t="shared" si="29"/>
        <v>Good</v>
      </c>
      <c r="S384">
        <f>COUNTIF('Students Social Media Addiction'!O:O,"High")/COUNTA(Table1[Student_ID])</f>
        <v>0.5787234042553191</v>
      </c>
      <c r="T384">
        <f>AVERAGE(Table1[Academic Impact Flag])</f>
        <v>0.64255319148936174</v>
      </c>
      <c r="U384">
        <f>AVERAGE(Table1[Sleep_Hours_Per_Night])</f>
        <v>6.868936170212768</v>
      </c>
      <c r="V384">
        <f>AVERAGE(Table1[Mental_Health_Score])</f>
        <v>6.2269503546099294</v>
      </c>
    </row>
    <row r="385" spans="1:22" x14ac:dyDescent="0.3">
      <c r="A385">
        <v>384</v>
      </c>
      <c r="B385">
        <v>22</v>
      </c>
      <c r="C385" t="s">
        <v>18</v>
      </c>
      <c r="D385" t="s">
        <v>19</v>
      </c>
      <c r="E385" t="s">
        <v>20</v>
      </c>
      <c r="F385">
        <v>6.4</v>
      </c>
      <c r="G385" t="s">
        <v>142</v>
      </c>
      <c r="H385" t="s">
        <v>16</v>
      </c>
      <c r="I385">
        <v>5.9</v>
      </c>
      <c r="J385">
        <v>5</v>
      </c>
      <c r="K385" t="s">
        <v>17</v>
      </c>
      <c r="L385">
        <v>8</v>
      </c>
      <c r="M385" t="str">
        <f>IF(Table1[[#This Row],[Age]]&lt;=18,"Teen",IF(Table1[[#This Row],[Age]]&lt;=21,"Young Adult","Adult"))</f>
        <v>Adult</v>
      </c>
      <c r="N385" t="str">
        <f t="shared" si="25"/>
        <v>Very High</v>
      </c>
      <c r="O385" t="str">
        <f t="shared" si="26"/>
        <v>High</v>
      </c>
      <c r="P385" t="str">
        <f t="shared" si="27"/>
        <v>Poor</v>
      </c>
      <c r="Q385">
        <f t="shared" si="28"/>
        <v>1</v>
      </c>
      <c r="R385" t="str">
        <f t="shared" si="29"/>
        <v>Average</v>
      </c>
      <c r="S385">
        <f>COUNTIF('Students Social Media Addiction'!O:O,"High")/COUNTA(Table1[Student_ID])</f>
        <v>0.5787234042553191</v>
      </c>
      <c r="T385">
        <f>AVERAGE(Table1[Academic Impact Flag])</f>
        <v>0.64255319148936174</v>
      </c>
      <c r="U385">
        <f>AVERAGE(Table1[Sleep_Hours_Per_Night])</f>
        <v>6.868936170212768</v>
      </c>
      <c r="V385">
        <f>AVERAGE(Table1[Mental_Health_Score])</f>
        <v>6.2269503546099294</v>
      </c>
    </row>
    <row r="386" spans="1:22" x14ac:dyDescent="0.3">
      <c r="A386">
        <v>385</v>
      </c>
      <c r="B386">
        <v>19</v>
      </c>
      <c r="C386" t="s">
        <v>12</v>
      </c>
      <c r="D386" t="s">
        <v>13</v>
      </c>
      <c r="E386" t="s">
        <v>50</v>
      </c>
      <c r="F386">
        <v>3.3</v>
      </c>
      <c r="G386" t="s">
        <v>15</v>
      </c>
      <c r="H386" t="s">
        <v>22</v>
      </c>
      <c r="I386">
        <v>8.5</v>
      </c>
      <c r="J386">
        <v>8</v>
      </c>
      <c r="K386" t="s">
        <v>23</v>
      </c>
      <c r="L386">
        <v>4</v>
      </c>
      <c r="M386" t="str">
        <f>IF(Table1[[#This Row],[Age]]&lt;=18,"Teen",IF(Table1[[#This Row],[Age]]&lt;=21,"Young Adult","Adult"))</f>
        <v>Young Adult</v>
      </c>
      <c r="N386" t="str">
        <f t="shared" ref="N386:N449" si="30">IF(F386&lt;2,"Low",
IF(F386&lt;4,"Moderate",
IF(F386&lt;6,"High","Very High")))</f>
        <v>Moderate</v>
      </c>
      <c r="O386" t="str">
        <f t="shared" ref="O386:O449" si="31">IF(L386&lt;=3,"Low",
IF(L386&lt;=6,"Medium","High"))</f>
        <v>Medium</v>
      </c>
      <c r="P386" t="str">
        <f t="shared" ref="P386:P449" si="32">IF(I386&lt;6,"Poor",
IF(I386&lt;=7,"Average","Healthy"))</f>
        <v>Healthy</v>
      </c>
      <c r="Q386">
        <f t="shared" ref="Q386:Q449" si="33">IF(H386="Yes",1,0)</f>
        <v>0</v>
      </c>
      <c r="R386" t="str">
        <f t="shared" ref="R386:R449" si="34">IF(J386&lt;=4,"Poor",
IF(J386&lt;=6,"Average","Good"))</f>
        <v>Good</v>
      </c>
      <c r="S386">
        <f>COUNTIF('Students Social Media Addiction'!O:O,"High")/COUNTA(Table1[Student_ID])</f>
        <v>0.5787234042553191</v>
      </c>
      <c r="T386">
        <f>AVERAGE(Table1[Academic Impact Flag])</f>
        <v>0.64255319148936174</v>
      </c>
      <c r="U386">
        <f>AVERAGE(Table1[Sleep_Hours_Per_Night])</f>
        <v>6.868936170212768</v>
      </c>
      <c r="V386">
        <f>AVERAGE(Table1[Mental_Health_Score])</f>
        <v>6.2269503546099294</v>
      </c>
    </row>
    <row r="387" spans="1:22" x14ac:dyDescent="0.3">
      <c r="A387">
        <v>386</v>
      </c>
      <c r="B387">
        <v>21</v>
      </c>
      <c r="C387" t="s">
        <v>18</v>
      </c>
      <c r="D387" t="s">
        <v>19</v>
      </c>
      <c r="E387" t="s">
        <v>64</v>
      </c>
      <c r="F387">
        <v>4.9000000000000004</v>
      </c>
      <c r="G387" t="s">
        <v>15</v>
      </c>
      <c r="H387" t="s">
        <v>16</v>
      </c>
      <c r="I387">
        <v>7.3</v>
      </c>
      <c r="J387">
        <v>6</v>
      </c>
      <c r="K387" t="s">
        <v>23</v>
      </c>
      <c r="L387">
        <v>7</v>
      </c>
      <c r="M387" t="str">
        <f>IF(Table1[[#This Row],[Age]]&lt;=18,"Teen",IF(Table1[[#This Row],[Age]]&lt;=21,"Young Adult","Adult"))</f>
        <v>Young Adult</v>
      </c>
      <c r="N387" t="str">
        <f t="shared" si="30"/>
        <v>High</v>
      </c>
      <c r="O387" t="str">
        <f t="shared" si="31"/>
        <v>High</v>
      </c>
      <c r="P387" t="str">
        <f t="shared" si="32"/>
        <v>Healthy</v>
      </c>
      <c r="Q387">
        <f t="shared" si="33"/>
        <v>1</v>
      </c>
      <c r="R387" t="str">
        <f t="shared" si="34"/>
        <v>Average</v>
      </c>
      <c r="S387">
        <f>COUNTIF('Students Social Media Addiction'!O:O,"High")/COUNTA(Table1[Student_ID])</f>
        <v>0.5787234042553191</v>
      </c>
      <c r="T387">
        <f>AVERAGE(Table1[Academic Impact Flag])</f>
        <v>0.64255319148936174</v>
      </c>
      <c r="U387">
        <f>AVERAGE(Table1[Sleep_Hours_Per_Night])</f>
        <v>6.868936170212768</v>
      </c>
      <c r="V387">
        <f>AVERAGE(Table1[Mental_Health_Score])</f>
        <v>6.2269503546099294</v>
      </c>
    </row>
    <row r="388" spans="1:22" x14ac:dyDescent="0.3">
      <c r="A388">
        <v>387</v>
      </c>
      <c r="B388">
        <v>20</v>
      </c>
      <c r="C388" t="s">
        <v>12</v>
      </c>
      <c r="D388" t="s">
        <v>13</v>
      </c>
      <c r="E388" t="s">
        <v>24</v>
      </c>
      <c r="F388">
        <v>7.4</v>
      </c>
      <c r="G388" t="s">
        <v>25</v>
      </c>
      <c r="H388" t="s">
        <v>16</v>
      </c>
      <c r="I388">
        <v>4.9000000000000004</v>
      </c>
      <c r="J388">
        <v>5</v>
      </c>
      <c r="K388" t="s">
        <v>17</v>
      </c>
      <c r="L388">
        <v>9</v>
      </c>
      <c r="M388" t="str">
        <f>IF(Table1[[#This Row],[Age]]&lt;=18,"Teen",IF(Table1[[#This Row],[Age]]&lt;=21,"Young Adult","Adult"))</f>
        <v>Young Adult</v>
      </c>
      <c r="N388" t="str">
        <f t="shared" si="30"/>
        <v>Very High</v>
      </c>
      <c r="O388" t="str">
        <f t="shared" si="31"/>
        <v>High</v>
      </c>
      <c r="P388" t="str">
        <f t="shared" si="32"/>
        <v>Poor</v>
      </c>
      <c r="Q388">
        <f t="shared" si="33"/>
        <v>1</v>
      </c>
      <c r="R388" t="str">
        <f t="shared" si="34"/>
        <v>Average</v>
      </c>
      <c r="S388">
        <f>COUNTIF('Students Social Media Addiction'!O:O,"High")/COUNTA(Table1[Student_ID])</f>
        <v>0.5787234042553191</v>
      </c>
      <c r="T388">
        <f>AVERAGE(Table1[Academic Impact Flag])</f>
        <v>0.64255319148936174</v>
      </c>
      <c r="U388">
        <f>AVERAGE(Table1[Sleep_Hours_Per_Night])</f>
        <v>6.868936170212768</v>
      </c>
      <c r="V388">
        <f>AVERAGE(Table1[Mental_Health_Score])</f>
        <v>6.2269503546099294</v>
      </c>
    </row>
    <row r="389" spans="1:22" x14ac:dyDescent="0.3">
      <c r="A389">
        <v>388</v>
      </c>
      <c r="B389">
        <v>22</v>
      </c>
      <c r="C389" t="s">
        <v>18</v>
      </c>
      <c r="D389" t="s">
        <v>19</v>
      </c>
      <c r="E389" t="s">
        <v>42</v>
      </c>
      <c r="F389">
        <v>6.2</v>
      </c>
      <c r="G389" t="s">
        <v>142</v>
      </c>
      <c r="H389" t="s">
        <v>16</v>
      </c>
      <c r="I389">
        <v>6</v>
      </c>
      <c r="J389">
        <v>6</v>
      </c>
      <c r="K389" t="s">
        <v>23</v>
      </c>
      <c r="L389">
        <v>7</v>
      </c>
      <c r="M389" t="str">
        <f>IF(Table1[[#This Row],[Age]]&lt;=18,"Teen",IF(Table1[[#This Row],[Age]]&lt;=21,"Young Adult","Adult"))</f>
        <v>Adult</v>
      </c>
      <c r="N389" t="str">
        <f t="shared" si="30"/>
        <v>Very High</v>
      </c>
      <c r="O389" t="str">
        <f t="shared" si="31"/>
        <v>High</v>
      </c>
      <c r="P389" t="str">
        <f t="shared" si="32"/>
        <v>Average</v>
      </c>
      <c r="Q389">
        <f t="shared" si="33"/>
        <v>1</v>
      </c>
      <c r="R389" t="str">
        <f t="shared" si="34"/>
        <v>Average</v>
      </c>
      <c r="S389">
        <f>COUNTIF('Students Social Media Addiction'!O:O,"High")/COUNTA(Table1[Student_ID])</f>
        <v>0.5787234042553191</v>
      </c>
      <c r="T389">
        <f>AVERAGE(Table1[Academic Impact Flag])</f>
        <v>0.64255319148936174</v>
      </c>
      <c r="U389">
        <f>AVERAGE(Table1[Sleep_Hours_Per_Night])</f>
        <v>6.868936170212768</v>
      </c>
      <c r="V389">
        <f>AVERAGE(Table1[Mental_Health_Score])</f>
        <v>6.2269503546099294</v>
      </c>
    </row>
    <row r="390" spans="1:22" x14ac:dyDescent="0.3">
      <c r="A390">
        <v>389</v>
      </c>
      <c r="B390">
        <v>19</v>
      </c>
      <c r="C390" t="s">
        <v>12</v>
      </c>
      <c r="D390" t="s">
        <v>13</v>
      </c>
      <c r="E390" t="s">
        <v>39</v>
      </c>
      <c r="F390">
        <v>3.9</v>
      </c>
      <c r="G390" t="s">
        <v>15</v>
      </c>
      <c r="H390" t="s">
        <v>22</v>
      </c>
      <c r="I390">
        <v>8.1</v>
      </c>
      <c r="J390">
        <v>7</v>
      </c>
      <c r="K390" t="s">
        <v>17</v>
      </c>
      <c r="L390">
        <v>5</v>
      </c>
      <c r="M390" t="str">
        <f>IF(Table1[[#This Row],[Age]]&lt;=18,"Teen",IF(Table1[[#This Row],[Age]]&lt;=21,"Young Adult","Adult"))</f>
        <v>Young Adult</v>
      </c>
      <c r="N390" t="str">
        <f t="shared" si="30"/>
        <v>Moderate</v>
      </c>
      <c r="O390" t="str">
        <f t="shared" si="31"/>
        <v>Medium</v>
      </c>
      <c r="P390" t="str">
        <f t="shared" si="32"/>
        <v>Healthy</v>
      </c>
      <c r="Q390">
        <f t="shared" si="33"/>
        <v>0</v>
      </c>
      <c r="R390" t="str">
        <f t="shared" si="34"/>
        <v>Good</v>
      </c>
      <c r="S390">
        <f>COUNTIF('Students Social Media Addiction'!O:O,"High")/COUNTA(Table1[Student_ID])</f>
        <v>0.5787234042553191</v>
      </c>
      <c r="T390">
        <f>AVERAGE(Table1[Academic Impact Flag])</f>
        <v>0.64255319148936174</v>
      </c>
      <c r="U390">
        <f>AVERAGE(Table1[Sleep_Hours_Per_Night])</f>
        <v>6.868936170212768</v>
      </c>
      <c r="V390">
        <f>AVERAGE(Table1[Mental_Health_Score])</f>
        <v>6.2269503546099294</v>
      </c>
    </row>
    <row r="391" spans="1:22" x14ac:dyDescent="0.3">
      <c r="A391">
        <v>390</v>
      </c>
      <c r="B391">
        <v>21</v>
      </c>
      <c r="C391" t="s">
        <v>18</v>
      </c>
      <c r="D391" t="s">
        <v>19</v>
      </c>
      <c r="E391" t="s">
        <v>30</v>
      </c>
      <c r="F391">
        <v>4.7</v>
      </c>
      <c r="G391" t="s">
        <v>15</v>
      </c>
      <c r="H391" t="s">
        <v>16</v>
      </c>
      <c r="I391">
        <v>7.5</v>
      </c>
      <c r="J391">
        <v>6</v>
      </c>
      <c r="K391" t="s">
        <v>23</v>
      </c>
      <c r="L391">
        <v>7</v>
      </c>
      <c r="M391" t="str">
        <f>IF(Table1[[#This Row],[Age]]&lt;=18,"Teen",IF(Table1[[#This Row],[Age]]&lt;=21,"Young Adult","Adult"))</f>
        <v>Young Adult</v>
      </c>
      <c r="N391" t="str">
        <f t="shared" si="30"/>
        <v>High</v>
      </c>
      <c r="O391" t="str">
        <f t="shared" si="31"/>
        <v>High</v>
      </c>
      <c r="P391" t="str">
        <f t="shared" si="32"/>
        <v>Healthy</v>
      </c>
      <c r="Q391">
        <f t="shared" si="33"/>
        <v>1</v>
      </c>
      <c r="R391" t="str">
        <f t="shared" si="34"/>
        <v>Average</v>
      </c>
      <c r="S391">
        <f>COUNTIF('Students Social Media Addiction'!O:O,"High")/COUNTA(Table1[Student_ID])</f>
        <v>0.5787234042553191</v>
      </c>
      <c r="T391">
        <f>AVERAGE(Table1[Academic Impact Flag])</f>
        <v>0.64255319148936174</v>
      </c>
      <c r="U391">
        <f>AVERAGE(Table1[Sleep_Hours_Per_Night])</f>
        <v>6.868936170212768</v>
      </c>
      <c r="V391">
        <f>AVERAGE(Table1[Mental_Health_Score])</f>
        <v>6.2269503546099294</v>
      </c>
    </row>
    <row r="392" spans="1:22" x14ac:dyDescent="0.3">
      <c r="A392">
        <v>391</v>
      </c>
      <c r="B392">
        <v>20</v>
      </c>
      <c r="C392" t="s">
        <v>12</v>
      </c>
      <c r="D392" t="s">
        <v>13</v>
      </c>
      <c r="E392" t="s">
        <v>40</v>
      </c>
      <c r="F392">
        <v>4.5</v>
      </c>
      <c r="G392" t="s">
        <v>25</v>
      </c>
      <c r="H392" t="s">
        <v>16</v>
      </c>
      <c r="I392">
        <v>7.4</v>
      </c>
      <c r="J392">
        <v>6</v>
      </c>
      <c r="K392" t="s">
        <v>23</v>
      </c>
      <c r="L392">
        <v>7</v>
      </c>
      <c r="M392" t="str">
        <f>IF(Table1[[#This Row],[Age]]&lt;=18,"Teen",IF(Table1[[#This Row],[Age]]&lt;=21,"Young Adult","Adult"))</f>
        <v>Young Adult</v>
      </c>
      <c r="N392" t="str">
        <f t="shared" si="30"/>
        <v>High</v>
      </c>
      <c r="O392" t="str">
        <f t="shared" si="31"/>
        <v>High</v>
      </c>
      <c r="P392" t="str">
        <f t="shared" si="32"/>
        <v>Healthy</v>
      </c>
      <c r="Q392">
        <f t="shared" si="33"/>
        <v>1</v>
      </c>
      <c r="R392" t="str">
        <f t="shared" si="34"/>
        <v>Average</v>
      </c>
      <c r="S392">
        <f>COUNTIF('Students Social Media Addiction'!O:O,"High")/COUNTA(Table1[Student_ID])</f>
        <v>0.5787234042553191</v>
      </c>
      <c r="T392">
        <f>AVERAGE(Table1[Academic Impact Flag])</f>
        <v>0.64255319148936174</v>
      </c>
      <c r="U392">
        <f>AVERAGE(Table1[Sleep_Hours_Per_Night])</f>
        <v>6.868936170212768</v>
      </c>
      <c r="V392">
        <f>AVERAGE(Table1[Mental_Health_Score])</f>
        <v>6.2269503546099294</v>
      </c>
    </row>
    <row r="393" spans="1:22" x14ac:dyDescent="0.3">
      <c r="A393">
        <v>392</v>
      </c>
      <c r="B393">
        <v>22</v>
      </c>
      <c r="C393" t="s">
        <v>18</v>
      </c>
      <c r="D393" t="s">
        <v>19</v>
      </c>
      <c r="E393" t="s">
        <v>47</v>
      </c>
      <c r="F393">
        <v>3.3</v>
      </c>
      <c r="G393" t="s">
        <v>31</v>
      </c>
      <c r="H393" t="s">
        <v>22</v>
      </c>
      <c r="I393">
        <v>8.5</v>
      </c>
      <c r="J393">
        <v>8</v>
      </c>
      <c r="K393" t="s">
        <v>17</v>
      </c>
      <c r="L393">
        <v>4</v>
      </c>
      <c r="M393" t="str">
        <f>IF(Table1[[#This Row],[Age]]&lt;=18,"Teen",IF(Table1[[#This Row],[Age]]&lt;=21,"Young Adult","Adult"))</f>
        <v>Adult</v>
      </c>
      <c r="N393" t="str">
        <f t="shared" si="30"/>
        <v>Moderate</v>
      </c>
      <c r="O393" t="str">
        <f t="shared" si="31"/>
        <v>Medium</v>
      </c>
      <c r="P393" t="str">
        <f t="shared" si="32"/>
        <v>Healthy</v>
      </c>
      <c r="Q393">
        <f t="shared" si="33"/>
        <v>0</v>
      </c>
      <c r="R393" t="str">
        <f t="shared" si="34"/>
        <v>Good</v>
      </c>
      <c r="S393">
        <f>COUNTIF('Students Social Media Addiction'!O:O,"High")/COUNTA(Table1[Student_ID])</f>
        <v>0.5787234042553191</v>
      </c>
      <c r="T393">
        <f>AVERAGE(Table1[Academic Impact Flag])</f>
        <v>0.64255319148936174</v>
      </c>
      <c r="U393">
        <f>AVERAGE(Table1[Sleep_Hours_Per_Night])</f>
        <v>6.868936170212768</v>
      </c>
      <c r="V393">
        <f>AVERAGE(Table1[Mental_Health_Score])</f>
        <v>6.2269503546099294</v>
      </c>
    </row>
    <row r="394" spans="1:22" x14ac:dyDescent="0.3">
      <c r="A394">
        <v>393</v>
      </c>
      <c r="B394">
        <v>19</v>
      </c>
      <c r="C394" t="s">
        <v>12</v>
      </c>
      <c r="D394" t="s">
        <v>13</v>
      </c>
      <c r="E394" t="s">
        <v>54</v>
      </c>
      <c r="F394">
        <v>4.2</v>
      </c>
      <c r="G394" t="s">
        <v>15</v>
      </c>
      <c r="H394" t="s">
        <v>16</v>
      </c>
      <c r="I394">
        <v>7.7</v>
      </c>
      <c r="J394">
        <v>7</v>
      </c>
      <c r="K394" t="s">
        <v>23</v>
      </c>
      <c r="L394">
        <v>6</v>
      </c>
      <c r="M394" t="str">
        <f>IF(Table1[[#This Row],[Age]]&lt;=18,"Teen",IF(Table1[[#This Row],[Age]]&lt;=21,"Young Adult","Adult"))</f>
        <v>Young Adult</v>
      </c>
      <c r="N394" t="str">
        <f t="shared" si="30"/>
        <v>High</v>
      </c>
      <c r="O394" t="str">
        <f t="shared" si="31"/>
        <v>Medium</v>
      </c>
      <c r="P394" t="str">
        <f t="shared" si="32"/>
        <v>Healthy</v>
      </c>
      <c r="Q394">
        <f t="shared" si="33"/>
        <v>1</v>
      </c>
      <c r="R394" t="str">
        <f t="shared" si="34"/>
        <v>Good</v>
      </c>
      <c r="S394">
        <f>COUNTIF('Students Social Media Addiction'!O:O,"High")/COUNTA(Table1[Student_ID])</f>
        <v>0.5787234042553191</v>
      </c>
      <c r="T394">
        <f>AVERAGE(Table1[Academic Impact Flag])</f>
        <v>0.64255319148936174</v>
      </c>
      <c r="U394">
        <f>AVERAGE(Table1[Sleep_Hours_Per_Night])</f>
        <v>6.868936170212768</v>
      </c>
      <c r="V394">
        <f>AVERAGE(Table1[Mental_Health_Score])</f>
        <v>6.2269503546099294</v>
      </c>
    </row>
    <row r="395" spans="1:22" x14ac:dyDescent="0.3">
      <c r="A395">
        <v>394</v>
      </c>
      <c r="B395">
        <v>21</v>
      </c>
      <c r="C395" t="s">
        <v>18</v>
      </c>
      <c r="D395" t="s">
        <v>19</v>
      </c>
      <c r="E395" t="s">
        <v>20</v>
      </c>
      <c r="F395">
        <v>6.5</v>
      </c>
      <c r="G395" t="s">
        <v>142</v>
      </c>
      <c r="H395" t="s">
        <v>16</v>
      </c>
      <c r="I395">
        <v>5.8</v>
      </c>
      <c r="J395">
        <v>5</v>
      </c>
      <c r="K395" t="s">
        <v>17</v>
      </c>
      <c r="L395">
        <v>8</v>
      </c>
      <c r="M395" t="str">
        <f>IF(Table1[[#This Row],[Age]]&lt;=18,"Teen",IF(Table1[[#This Row],[Age]]&lt;=21,"Young Adult","Adult"))</f>
        <v>Young Adult</v>
      </c>
      <c r="N395" t="str">
        <f t="shared" si="30"/>
        <v>Very High</v>
      </c>
      <c r="O395" t="str">
        <f t="shared" si="31"/>
        <v>High</v>
      </c>
      <c r="P395" t="str">
        <f t="shared" si="32"/>
        <v>Poor</v>
      </c>
      <c r="Q395">
        <f t="shared" si="33"/>
        <v>1</v>
      </c>
      <c r="R395" t="str">
        <f t="shared" si="34"/>
        <v>Average</v>
      </c>
      <c r="S395">
        <f>COUNTIF('Students Social Media Addiction'!O:O,"High")/COUNTA(Table1[Student_ID])</f>
        <v>0.5787234042553191</v>
      </c>
      <c r="T395">
        <f>AVERAGE(Table1[Academic Impact Flag])</f>
        <v>0.64255319148936174</v>
      </c>
      <c r="U395">
        <f>AVERAGE(Table1[Sleep_Hours_Per_Night])</f>
        <v>6.868936170212768</v>
      </c>
      <c r="V395">
        <f>AVERAGE(Table1[Mental_Health_Score])</f>
        <v>6.2269503546099294</v>
      </c>
    </row>
    <row r="396" spans="1:22" x14ac:dyDescent="0.3">
      <c r="A396">
        <v>395</v>
      </c>
      <c r="B396">
        <v>20</v>
      </c>
      <c r="C396" t="s">
        <v>12</v>
      </c>
      <c r="D396" t="s">
        <v>13</v>
      </c>
      <c r="E396" t="s">
        <v>50</v>
      </c>
      <c r="F396">
        <v>3.2</v>
      </c>
      <c r="G396" t="s">
        <v>15</v>
      </c>
      <c r="H396" t="s">
        <v>22</v>
      </c>
      <c r="I396">
        <v>8.6</v>
      </c>
      <c r="J396">
        <v>8</v>
      </c>
      <c r="K396" t="s">
        <v>23</v>
      </c>
      <c r="L396">
        <v>4</v>
      </c>
      <c r="M396" t="str">
        <f>IF(Table1[[#This Row],[Age]]&lt;=18,"Teen",IF(Table1[[#This Row],[Age]]&lt;=21,"Young Adult","Adult"))</f>
        <v>Young Adult</v>
      </c>
      <c r="N396" t="str">
        <f t="shared" si="30"/>
        <v>Moderate</v>
      </c>
      <c r="O396" t="str">
        <f t="shared" si="31"/>
        <v>Medium</v>
      </c>
      <c r="P396" t="str">
        <f t="shared" si="32"/>
        <v>Healthy</v>
      </c>
      <c r="Q396">
        <f t="shared" si="33"/>
        <v>0</v>
      </c>
      <c r="R396" t="str">
        <f t="shared" si="34"/>
        <v>Good</v>
      </c>
      <c r="S396">
        <f>COUNTIF('Students Social Media Addiction'!O:O,"High")/COUNTA(Table1[Student_ID])</f>
        <v>0.5787234042553191</v>
      </c>
      <c r="T396">
        <f>AVERAGE(Table1[Academic Impact Flag])</f>
        <v>0.64255319148936174</v>
      </c>
      <c r="U396">
        <f>AVERAGE(Table1[Sleep_Hours_Per_Night])</f>
        <v>6.868936170212768</v>
      </c>
      <c r="V396">
        <f>AVERAGE(Table1[Mental_Health_Score])</f>
        <v>6.2269503546099294</v>
      </c>
    </row>
    <row r="397" spans="1:22" x14ac:dyDescent="0.3">
      <c r="A397">
        <v>396</v>
      </c>
      <c r="B397">
        <v>22</v>
      </c>
      <c r="C397" t="s">
        <v>18</v>
      </c>
      <c r="D397" t="s">
        <v>19</v>
      </c>
      <c r="E397" t="s">
        <v>64</v>
      </c>
      <c r="F397">
        <v>4.8</v>
      </c>
      <c r="G397" t="s">
        <v>25</v>
      </c>
      <c r="H397" t="s">
        <v>16</v>
      </c>
      <c r="I397">
        <v>7.4</v>
      </c>
      <c r="J397">
        <v>6</v>
      </c>
      <c r="K397" t="s">
        <v>23</v>
      </c>
      <c r="L397">
        <v>7</v>
      </c>
      <c r="M397" t="str">
        <f>IF(Table1[[#This Row],[Age]]&lt;=18,"Teen",IF(Table1[[#This Row],[Age]]&lt;=21,"Young Adult","Adult"))</f>
        <v>Adult</v>
      </c>
      <c r="N397" t="str">
        <f t="shared" si="30"/>
        <v>High</v>
      </c>
      <c r="O397" t="str">
        <f t="shared" si="31"/>
        <v>High</v>
      </c>
      <c r="P397" t="str">
        <f t="shared" si="32"/>
        <v>Healthy</v>
      </c>
      <c r="Q397">
        <f t="shared" si="33"/>
        <v>1</v>
      </c>
      <c r="R397" t="str">
        <f t="shared" si="34"/>
        <v>Average</v>
      </c>
      <c r="S397">
        <f>COUNTIF('Students Social Media Addiction'!O:O,"High")/COUNTA(Table1[Student_ID])</f>
        <v>0.5787234042553191</v>
      </c>
      <c r="T397">
        <f>AVERAGE(Table1[Academic Impact Flag])</f>
        <v>0.64255319148936174</v>
      </c>
      <c r="U397">
        <f>AVERAGE(Table1[Sleep_Hours_Per_Night])</f>
        <v>6.868936170212768</v>
      </c>
      <c r="V397">
        <f>AVERAGE(Table1[Mental_Health_Score])</f>
        <v>6.2269503546099294</v>
      </c>
    </row>
    <row r="398" spans="1:22" x14ac:dyDescent="0.3">
      <c r="A398">
        <v>397</v>
      </c>
      <c r="B398">
        <v>19</v>
      </c>
      <c r="C398" t="s">
        <v>12</v>
      </c>
      <c r="D398" t="s">
        <v>13</v>
      </c>
      <c r="E398" t="s">
        <v>24</v>
      </c>
      <c r="F398">
        <v>7.5</v>
      </c>
      <c r="G398" t="s">
        <v>15</v>
      </c>
      <c r="H398" t="s">
        <v>16</v>
      </c>
      <c r="I398">
        <v>4.8</v>
      </c>
      <c r="J398">
        <v>5</v>
      </c>
      <c r="K398" t="s">
        <v>17</v>
      </c>
      <c r="L398">
        <v>9</v>
      </c>
      <c r="M398" t="str">
        <f>IF(Table1[[#This Row],[Age]]&lt;=18,"Teen",IF(Table1[[#This Row],[Age]]&lt;=21,"Young Adult","Adult"))</f>
        <v>Young Adult</v>
      </c>
      <c r="N398" t="str">
        <f t="shared" si="30"/>
        <v>Very High</v>
      </c>
      <c r="O398" t="str">
        <f t="shared" si="31"/>
        <v>High</v>
      </c>
      <c r="P398" t="str">
        <f t="shared" si="32"/>
        <v>Poor</v>
      </c>
      <c r="Q398">
        <f t="shared" si="33"/>
        <v>1</v>
      </c>
      <c r="R398" t="str">
        <f t="shared" si="34"/>
        <v>Average</v>
      </c>
      <c r="S398">
        <f>COUNTIF('Students Social Media Addiction'!O:O,"High")/COUNTA(Table1[Student_ID])</f>
        <v>0.5787234042553191</v>
      </c>
      <c r="T398">
        <f>AVERAGE(Table1[Academic Impact Flag])</f>
        <v>0.64255319148936174</v>
      </c>
      <c r="U398">
        <f>AVERAGE(Table1[Sleep_Hours_Per_Night])</f>
        <v>6.868936170212768</v>
      </c>
      <c r="V398">
        <f>AVERAGE(Table1[Mental_Health_Score])</f>
        <v>6.2269503546099294</v>
      </c>
    </row>
    <row r="399" spans="1:22" x14ac:dyDescent="0.3">
      <c r="A399">
        <v>398</v>
      </c>
      <c r="B399">
        <v>21</v>
      </c>
      <c r="C399" t="s">
        <v>18</v>
      </c>
      <c r="D399" t="s">
        <v>19</v>
      </c>
      <c r="E399" t="s">
        <v>42</v>
      </c>
      <c r="F399">
        <v>6.3</v>
      </c>
      <c r="G399" t="s">
        <v>142</v>
      </c>
      <c r="H399" t="s">
        <v>16</v>
      </c>
      <c r="I399">
        <v>5.9</v>
      </c>
      <c r="J399">
        <v>6</v>
      </c>
      <c r="K399" t="s">
        <v>23</v>
      </c>
      <c r="L399">
        <v>7</v>
      </c>
      <c r="M399" t="str">
        <f>IF(Table1[[#This Row],[Age]]&lt;=18,"Teen",IF(Table1[[#This Row],[Age]]&lt;=21,"Young Adult","Adult"))</f>
        <v>Young Adult</v>
      </c>
      <c r="N399" t="str">
        <f t="shared" si="30"/>
        <v>Very High</v>
      </c>
      <c r="O399" t="str">
        <f t="shared" si="31"/>
        <v>High</v>
      </c>
      <c r="P399" t="str">
        <f t="shared" si="32"/>
        <v>Poor</v>
      </c>
      <c r="Q399">
        <f t="shared" si="33"/>
        <v>1</v>
      </c>
      <c r="R399" t="str">
        <f t="shared" si="34"/>
        <v>Average</v>
      </c>
      <c r="S399">
        <f>COUNTIF('Students Social Media Addiction'!O:O,"High")/COUNTA(Table1[Student_ID])</f>
        <v>0.5787234042553191</v>
      </c>
      <c r="T399">
        <f>AVERAGE(Table1[Academic Impact Flag])</f>
        <v>0.64255319148936174</v>
      </c>
      <c r="U399">
        <f>AVERAGE(Table1[Sleep_Hours_Per_Night])</f>
        <v>6.868936170212768</v>
      </c>
      <c r="V399">
        <f>AVERAGE(Table1[Mental_Health_Score])</f>
        <v>6.2269503546099294</v>
      </c>
    </row>
    <row r="400" spans="1:22" x14ac:dyDescent="0.3">
      <c r="A400">
        <v>399</v>
      </c>
      <c r="B400">
        <v>20</v>
      </c>
      <c r="C400" t="s">
        <v>12</v>
      </c>
      <c r="D400" t="s">
        <v>13</v>
      </c>
      <c r="E400" t="s">
        <v>39</v>
      </c>
      <c r="F400">
        <v>3.8</v>
      </c>
      <c r="G400" t="s">
        <v>15</v>
      </c>
      <c r="H400" t="s">
        <v>22</v>
      </c>
      <c r="I400">
        <v>8.1999999999999993</v>
      </c>
      <c r="J400">
        <v>7</v>
      </c>
      <c r="K400" t="s">
        <v>17</v>
      </c>
      <c r="L400">
        <v>5</v>
      </c>
      <c r="M400" t="str">
        <f>IF(Table1[[#This Row],[Age]]&lt;=18,"Teen",IF(Table1[[#This Row],[Age]]&lt;=21,"Young Adult","Adult"))</f>
        <v>Young Adult</v>
      </c>
      <c r="N400" t="str">
        <f t="shared" si="30"/>
        <v>Moderate</v>
      </c>
      <c r="O400" t="str">
        <f t="shared" si="31"/>
        <v>Medium</v>
      </c>
      <c r="P400" t="str">
        <f t="shared" si="32"/>
        <v>Healthy</v>
      </c>
      <c r="Q400">
        <f t="shared" si="33"/>
        <v>0</v>
      </c>
      <c r="R400" t="str">
        <f t="shared" si="34"/>
        <v>Good</v>
      </c>
      <c r="S400">
        <f>COUNTIF('Students Social Media Addiction'!O:O,"High")/COUNTA(Table1[Student_ID])</f>
        <v>0.5787234042553191</v>
      </c>
      <c r="T400">
        <f>AVERAGE(Table1[Academic Impact Flag])</f>
        <v>0.64255319148936174</v>
      </c>
      <c r="U400">
        <f>AVERAGE(Table1[Sleep_Hours_Per_Night])</f>
        <v>6.868936170212768</v>
      </c>
      <c r="V400">
        <f>AVERAGE(Table1[Mental_Health_Score])</f>
        <v>6.2269503546099294</v>
      </c>
    </row>
    <row r="401" spans="1:22" x14ac:dyDescent="0.3">
      <c r="A401">
        <v>400</v>
      </c>
      <c r="B401">
        <v>22</v>
      </c>
      <c r="C401" t="s">
        <v>18</v>
      </c>
      <c r="D401" t="s">
        <v>19</v>
      </c>
      <c r="E401" t="s">
        <v>30</v>
      </c>
      <c r="F401">
        <v>4.5999999999999996</v>
      </c>
      <c r="G401" t="s">
        <v>25</v>
      </c>
      <c r="H401" t="s">
        <v>16</v>
      </c>
      <c r="I401">
        <v>7.6</v>
      </c>
      <c r="J401">
        <v>6</v>
      </c>
      <c r="K401" t="s">
        <v>23</v>
      </c>
      <c r="L401">
        <v>7</v>
      </c>
      <c r="M401" t="str">
        <f>IF(Table1[[#This Row],[Age]]&lt;=18,"Teen",IF(Table1[[#This Row],[Age]]&lt;=21,"Young Adult","Adult"))</f>
        <v>Adult</v>
      </c>
      <c r="N401" t="str">
        <f t="shared" si="30"/>
        <v>High</v>
      </c>
      <c r="O401" t="str">
        <f t="shared" si="31"/>
        <v>High</v>
      </c>
      <c r="P401" t="str">
        <f t="shared" si="32"/>
        <v>Healthy</v>
      </c>
      <c r="Q401">
        <f t="shared" si="33"/>
        <v>1</v>
      </c>
      <c r="R401" t="str">
        <f t="shared" si="34"/>
        <v>Average</v>
      </c>
      <c r="S401">
        <f>COUNTIF('Students Social Media Addiction'!O:O,"High")/COUNTA(Table1[Student_ID])</f>
        <v>0.5787234042553191</v>
      </c>
      <c r="T401">
        <f>AVERAGE(Table1[Academic Impact Flag])</f>
        <v>0.64255319148936174</v>
      </c>
      <c r="U401">
        <f>AVERAGE(Table1[Sleep_Hours_Per_Night])</f>
        <v>6.868936170212768</v>
      </c>
      <c r="V401">
        <f>AVERAGE(Table1[Mental_Health_Score])</f>
        <v>6.2269503546099294</v>
      </c>
    </row>
    <row r="402" spans="1:22" x14ac:dyDescent="0.3">
      <c r="A402">
        <v>401</v>
      </c>
      <c r="B402">
        <v>19</v>
      </c>
      <c r="C402" t="s">
        <v>12</v>
      </c>
      <c r="D402" t="s">
        <v>13</v>
      </c>
      <c r="E402" t="s">
        <v>40</v>
      </c>
      <c r="F402">
        <v>4.4000000000000004</v>
      </c>
      <c r="G402" t="s">
        <v>15</v>
      </c>
      <c r="H402" t="s">
        <v>16</v>
      </c>
      <c r="I402">
        <v>7.5</v>
      </c>
      <c r="J402">
        <v>6</v>
      </c>
      <c r="K402" t="s">
        <v>23</v>
      </c>
      <c r="L402">
        <v>7</v>
      </c>
      <c r="M402" t="str">
        <f>IF(Table1[[#This Row],[Age]]&lt;=18,"Teen",IF(Table1[[#This Row],[Age]]&lt;=21,"Young Adult","Adult"))</f>
        <v>Young Adult</v>
      </c>
      <c r="N402" t="str">
        <f t="shared" si="30"/>
        <v>High</v>
      </c>
      <c r="O402" t="str">
        <f t="shared" si="31"/>
        <v>High</v>
      </c>
      <c r="P402" t="str">
        <f t="shared" si="32"/>
        <v>Healthy</v>
      </c>
      <c r="Q402">
        <f t="shared" si="33"/>
        <v>1</v>
      </c>
      <c r="R402" t="str">
        <f t="shared" si="34"/>
        <v>Average</v>
      </c>
      <c r="S402">
        <f>COUNTIF('Students Social Media Addiction'!O:O,"High")/COUNTA(Table1[Student_ID])</f>
        <v>0.5787234042553191</v>
      </c>
      <c r="T402">
        <f>AVERAGE(Table1[Academic Impact Flag])</f>
        <v>0.64255319148936174</v>
      </c>
      <c r="U402">
        <f>AVERAGE(Table1[Sleep_Hours_Per_Night])</f>
        <v>6.868936170212768</v>
      </c>
      <c r="V402">
        <f>AVERAGE(Table1[Mental_Health_Score])</f>
        <v>6.2269503546099294</v>
      </c>
    </row>
    <row r="403" spans="1:22" x14ac:dyDescent="0.3">
      <c r="A403">
        <v>402</v>
      </c>
      <c r="B403">
        <v>21</v>
      </c>
      <c r="C403" t="s">
        <v>18</v>
      </c>
      <c r="D403" t="s">
        <v>19</v>
      </c>
      <c r="E403" t="s">
        <v>47</v>
      </c>
      <c r="F403">
        <v>3.2</v>
      </c>
      <c r="G403" t="s">
        <v>31</v>
      </c>
      <c r="H403" t="s">
        <v>22</v>
      </c>
      <c r="I403">
        <v>8.6</v>
      </c>
      <c r="J403">
        <v>8</v>
      </c>
      <c r="K403" t="s">
        <v>17</v>
      </c>
      <c r="L403">
        <v>4</v>
      </c>
      <c r="M403" t="str">
        <f>IF(Table1[[#This Row],[Age]]&lt;=18,"Teen",IF(Table1[[#This Row],[Age]]&lt;=21,"Young Adult","Adult"))</f>
        <v>Young Adult</v>
      </c>
      <c r="N403" t="str">
        <f t="shared" si="30"/>
        <v>Moderate</v>
      </c>
      <c r="O403" t="str">
        <f t="shared" si="31"/>
        <v>Medium</v>
      </c>
      <c r="P403" t="str">
        <f t="shared" si="32"/>
        <v>Healthy</v>
      </c>
      <c r="Q403">
        <f t="shared" si="33"/>
        <v>0</v>
      </c>
      <c r="R403" t="str">
        <f t="shared" si="34"/>
        <v>Good</v>
      </c>
      <c r="S403">
        <f>COUNTIF('Students Social Media Addiction'!O:O,"High")/COUNTA(Table1[Student_ID])</f>
        <v>0.5787234042553191</v>
      </c>
      <c r="T403">
        <f>AVERAGE(Table1[Academic Impact Flag])</f>
        <v>0.64255319148936174</v>
      </c>
      <c r="U403">
        <f>AVERAGE(Table1[Sleep_Hours_Per_Night])</f>
        <v>6.868936170212768</v>
      </c>
      <c r="V403">
        <f>AVERAGE(Table1[Mental_Health_Score])</f>
        <v>6.2269503546099294</v>
      </c>
    </row>
    <row r="404" spans="1:22" x14ac:dyDescent="0.3">
      <c r="A404">
        <v>403</v>
      </c>
      <c r="B404">
        <v>20</v>
      </c>
      <c r="C404" t="s">
        <v>12</v>
      </c>
      <c r="D404" t="s">
        <v>13</v>
      </c>
      <c r="E404" t="s">
        <v>54</v>
      </c>
      <c r="F404">
        <v>4.0999999999999996</v>
      </c>
      <c r="G404" t="s">
        <v>25</v>
      </c>
      <c r="H404" t="s">
        <v>16</v>
      </c>
      <c r="I404">
        <v>7.8</v>
      </c>
      <c r="J404">
        <v>7</v>
      </c>
      <c r="K404" t="s">
        <v>23</v>
      </c>
      <c r="L404">
        <v>6</v>
      </c>
      <c r="M404" t="str">
        <f>IF(Table1[[#This Row],[Age]]&lt;=18,"Teen",IF(Table1[[#This Row],[Age]]&lt;=21,"Young Adult","Adult"))</f>
        <v>Young Adult</v>
      </c>
      <c r="N404" t="str">
        <f t="shared" si="30"/>
        <v>High</v>
      </c>
      <c r="O404" t="str">
        <f t="shared" si="31"/>
        <v>Medium</v>
      </c>
      <c r="P404" t="str">
        <f t="shared" si="32"/>
        <v>Healthy</v>
      </c>
      <c r="Q404">
        <f t="shared" si="33"/>
        <v>1</v>
      </c>
      <c r="R404" t="str">
        <f t="shared" si="34"/>
        <v>Good</v>
      </c>
      <c r="S404">
        <f>COUNTIF('Students Social Media Addiction'!O:O,"High")/COUNTA(Table1[Student_ID])</f>
        <v>0.5787234042553191</v>
      </c>
      <c r="T404">
        <f>AVERAGE(Table1[Academic Impact Flag])</f>
        <v>0.64255319148936174</v>
      </c>
      <c r="U404">
        <f>AVERAGE(Table1[Sleep_Hours_Per_Night])</f>
        <v>6.868936170212768</v>
      </c>
      <c r="V404">
        <f>AVERAGE(Table1[Mental_Health_Score])</f>
        <v>6.2269503546099294</v>
      </c>
    </row>
    <row r="405" spans="1:22" x14ac:dyDescent="0.3">
      <c r="A405">
        <v>404</v>
      </c>
      <c r="B405">
        <v>22</v>
      </c>
      <c r="C405" t="s">
        <v>18</v>
      </c>
      <c r="D405" t="s">
        <v>19</v>
      </c>
      <c r="E405" t="s">
        <v>20</v>
      </c>
      <c r="F405">
        <v>6.6</v>
      </c>
      <c r="G405" t="s">
        <v>142</v>
      </c>
      <c r="H405" t="s">
        <v>16</v>
      </c>
      <c r="I405">
        <v>5.7</v>
      </c>
      <c r="J405">
        <v>5</v>
      </c>
      <c r="K405" t="s">
        <v>17</v>
      </c>
      <c r="L405">
        <v>8</v>
      </c>
      <c r="M405" t="str">
        <f>IF(Table1[[#This Row],[Age]]&lt;=18,"Teen",IF(Table1[[#This Row],[Age]]&lt;=21,"Young Adult","Adult"))</f>
        <v>Adult</v>
      </c>
      <c r="N405" t="str">
        <f t="shared" si="30"/>
        <v>Very High</v>
      </c>
      <c r="O405" t="str">
        <f t="shared" si="31"/>
        <v>High</v>
      </c>
      <c r="P405" t="str">
        <f t="shared" si="32"/>
        <v>Poor</v>
      </c>
      <c r="Q405">
        <f t="shared" si="33"/>
        <v>1</v>
      </c>
      <c r="R405" t="str">
        <f t="shared" si="34"/>
        <v>Average</v>
      </c>
      <c r="S405">
        <f>COUNTIF('Students Social Media Addiction'!O:O,"High")/COUNTA(Table1[Student_ID])</f>
        <v>0.5787234042553191</v>
      </c>
      <c r="T405">
        <f>AVERAGE(Table1[Academic Impact Flag])</f>
        <v>0.64255319148936174</v>
      </c>
      <c r="U405">
        <f>AVERAGE(Table1[Sleep_Hours_Per_Night])</f>
        <v>6.868936170212768</v>
      </c>
      <c r="V405">
        <f>AVERAGE(Table1[Mental_Health_Score])</f>
        <v>6.2269503546099294</v>
      </c>
    </row>
    <row r="406" spans="1:22" x14ac:dyDescent="0.3">
      <c r="A406">
        <v>405</v>
      </c>
      <c r="B406">
        <v>19</v>
      </c>
      <c r="C406" t="s">
        <v>12</v>
      </c>
      <c r="D406" t="s">
        <v>13</v>
      </c>
      <c r="E406" t="s">
        <v>50</v>
      </c>
      <c r="F406">
        <v>3.1</v>
      </c>
      <c r="G406" t="s">
        <v>15</v>
      </c>
      <c r="H406" t="s">
        <v>22</v>
      </c>
      <c r="I406">
        <v>8.6999999999999993</v>
      </c>
      <c r="J406">
        <v>8</v>
      </c>
      <c r="K406" t="s">
        <v>23</v>
      </c>
      <c r="L406">
        <v>4</v>
      </c>
      <c r="M406" t="str">
        <f>IF(Table1[[#This Row],[Age]]&lt;=18,"Teen",IF(Table1[[#This Row],[Age]]&lt;=21,"Young Adult","Adult"))</f>
        <v>Young Adult</v>
      </c>
      <c r="N406" t="str">
        <f t="shared" si="30"/>
        <v>Moderate</v>
      </c>
      <c r="O406" t="str">
        <f t="shared" si="31"/>
        <v>Medium</v>
      </c>
      <c r="P406" t="str">
        <f t="shared" si="32"/>
        <v>Healthy</v>
      </c>
      <c r="Q406">
        <f t="shared" si="33"/>
        <v>0</v>
      </c>
      <c r="R406" t="str">
        <f t="shared" si="34"/>
        <v>Good</v>
      </c>
      <c r="S406">
        <f>COUNTIF('Students Social Media Addiction'!O:O,"High")/COUNTA(Table1[Student_ID])</f>
        <v>0.5787234042553191</v>
      </c>
      <c r="T406">
        <f>AVERAGE(Table1[Academic Impact Flag])</f>
        <v>0.64255319148936174</v>
      </c>
      <c r="U406">
        <f>AVERAGE(Table1[Sleep_Hours_Per_Night])</f>
        <v>6.868936170212768</v>
      </c>
      <c r="V406">
        <f>AVERAGE(Table1[Mental_Health_Score])</f>
        <v>6.2269503546099294</v>
      </c>
    </row>
    <row r="407" spans="1:22" x14ac:dyDescent="0.3">
      <c r="A407">
        <v>406</v>
      </c>
      <c r="B407">
        <v>21</v>
      </c>
      <c r="C407" t="s">
        <v>18</v>
      </c>
      <c r="D407" t="s">
        <v>19</v>
      </c>
      <c r="E407" t="s">
        <v>64</v>
      </c>
      <c r="F407">
        <v>4.7</v>
      </c>
      <c r="G407" t="s">
        <v>15</v>
      </c>
      <c r="H407" t="s">
        <v>16</v>
      </c>
      <c r="I407">
        <v>7.5</v>
      </c>
      <c r="J407">
        <v>6</v>
      </c>
      <c r="K407" t="s">
        <v>23</v>
      </c>
      <c r="L407">
        <v>7</v>
      </c>
      <c r="M407" t="str">
        <f>IF(Table1[[#This Row],[Age]]&lt;=18,"Teen",IF(Table1[[#This Row],[Age]]&lt;=21,"Young Adult","Adult"))</f>
        <v>Young Adult</v>
      </c>
      <c r="N407" t="str">
        <f t="shared" si="30"/>
        <v>High</v>
      </c>
      <c r="O407" t="str">
        <f t="shared" si="31"/>
        <v>High</v>
      </c>
      <c r="P407" t="str">
        <f t="shared" si="32"/>
        <v>Healthy</v>
      </c>
      <c r="Q407">
        <f t="shared" si="33"/>
        <v>1</v>
      </c>
      <c r="R407" t="str">
        <f t="shared" si="34"/>
        <v>Average</v>
      </c>
      <c r="S407">
        <f>COUNTIF('Students Social Media Addiction'!O:O,"High")/COUNTA(Table1[Student_ID])</f>
        <v>0.5787234042553191</v>
      </c>
      <c r="T407">
        <f>AVERAGE(Table1[Academic Impact Flag])</f>
        <v>0.64255319148936174</v>
      </c>
      <c r="U407">
        <f>AVERAGE(Table1[Sleep_Hours_Per_Night])</f>
        <v>6.868936170212768</v>
      </c>
      <c r="V407">
        <f>AVERAGE(Table1[Mental_Health_Score])</f>
        <v>6.2269503546099294</v>
      </c>
    </row>
    <row r="408" spans="1:22" x14ac:dyDescent="0.3">
      <c r="A408">
        <v>407</v>
      </c>
      <c r="B408">
        <v>20</v>
      </c>
      <c r="C408" t="s">
        <v>12</v>
      </c>
      <c r="D408" t="s">
        <v>13</v>
      </c>
      <c r="E408" t="s">
        <v>24</v>
      </c>
      <c r="F408">
        <v>7.6</v>
      </c>
      <c r="G408" t="s">
        <v>25</v>
      </c>
      <c r="H408" t="s">
        <v>16</v>
      </c>
      <c r="I408">
        <v>4.7</v>
      </c>
      <c r="J408">
        <v>5</v>
      </c>
      <c r="K408" t="s">
        <v>17</v>
      </c>
      <c r="L408">
        <v>9</v>
      </c>
      <c r="M408" t="str">
        <f>IF(Table1[[#This Row],[Age]]&lt;=18,"Teen",IF(Table1[[#This Row],[Age]]&lt;=21,"Young Adult","Adult"))</f>
        <v>Young Adult</v>
      </c>
      <c r="N408" t="str">
        <f t="shared" si="30"/>
        <v>Very High</v>
      </c>
      <c r="O408" t="str">
        <f t="shared" si="31"/>
        <v>High</v>
      </c>
      <c r="P408" t="str">
        <f t="shared" si="32"/>
        <v>Poor</v>
      </c>
      <c r="Q408">
        <f t="shared" si="33"/>
        <v>1</v>
      </c>
      <c r="R408" t="str">
        <f t="shared" si="34"/>
        <v>Average</v>
      </c>
      <c r="S408">
        <f>COUNTIF('Students Social Media Addiction'!O:O,"High")/COUNTA(Table1[Student_ID])</f>
        <v>0.5787234042553191</v>
      </c>
      <c r="T408">
        <f>AVERAGE(Table1[Academic Impact Flag])</f>
        <v>0.64255319148936174</v>
      </c>
      <c r="U408">
        <f>AVERAGE(Table1[Sleep_Hours_Per_Night])</f>
        <v>6.868936170212768</v>
      </c>
      <c r="V408">
        <f>AVERAGE(Table1[Mental_Health_Score])</f>
        <v>6.2269503546099294</v>
      </c>
    </row>
    <row r="409" spans="1:22" x14ac:dyDescent="0.3">
      <c r="A409">
        <v>408</v>
      </c>
      <c r="B409">
        <v>22</v>
      </c>
      <c r="C409" t="s">
        <v>18</v>
      </c>
      <c r="D409" t="s">
        <v>19</v>
      </c>
      <c r="E409" t="s">
        <v>42</v>
      </c>
      <c r="F409">
        <v>6.4</v>
      </c>
      <c r="G409" t="s">
        <v>142</v>
      </c>
      <c r="H409" t="s">
        <v>16</v>
      </c>
      <c r="I409">
        <v>5.8</v>
      </c>
      <c r="J409">
        <v>6</v>
      </c>
      <c r="K409" t="s">
        <v>23</v>
      </c>
      <c r="L409">
        <v>7</v>
      </c>
      <c r="M409" t="str">
        <f>IF(Table1[[#This Row],[Age]]&lt;=18,"Teen",IF(Table1[[#This Row],[Age]]&lt;=21,"Young Adult","Adult"))</f>
        <v>Adult</v>
      </c>
      <c r="N409" t="str">
        <f t="shared" si="30"/>
        <v>Very High</v>
      </c>
      <c r="O409" t="str">
        <f t="shared" si="31"/>
        <v>High</v>
      </c>
      <c r="P409" t="str">
        <f t="shared" si="32"/>
        <v>Poor</v>
      </c>
      <c r="Q409">
        <f t="shared" si="33"/>
        <v>1</v>
      </c>
      <c r="R409" t="str">
        <f t="shared" si="34"/>
        <v>Average</v>
      </c>
      <c r="S409">
        <f>COUNTIF('Students Social Media Addiction'!O:O,"High")/COUNTA(Table1[Student_ID])</f>
        <v>0.5787234042553191</v>
      </c>
      <c r="T409">
        <f>AVERAGE(Table1[Academic Impact Flag])</f>
        <v>0.64255319148936174</v>
      </c>
      <c r="U409">
        <f>AVERAGE(Table1[Sleep_Hours_Per_Night])</f>
        <v>6.868936170212768</v>
      </c>
      <c r="V409">
        <f>AVERAGE(Table1[Mental_Health_Score])</f>
        <v>6.2269503546099294</v>
      </c>
    </row>
    <row r="410" spans="1:22" x14ac:dyDescent="0.3">
      <c r="A410">
        <v>409</v>
      </c>
      <c r="B410">
        <v>19</v>
      </c>
      <c r="C410" t="s">
        <v>12</v>
      </c>
      <c r="D410" t="s">
        <v>13</v>
      </c>
      <c r="E410" t="s">
        <v>39</v>
      </c>
      <c r="F410">
        <v>3.7</v>
      </c>
      <c r="G410" t="s">
        <v>15</v>
      </c>
      <c r="H410" t="s">
        <v>22</v>
      </c>
      <c r="I410">
        <v>8.3000000000000007</v>
      </c>
      <c r="J410">
        <v>7</v>
      </c>
      <c r="K410" t="s">
        <v>17</v>
      </c>
      <c r="L410">
        <v>5</v>
      </c>
      <c r="M410" t="str">
        <f>IF(Table1[[#This Row],[Age]]&lt;=18,"Teen",IF(Table1[[#This Row],[Age]]&lt;=21,"Young Adult","Adult"))</f>
        <v>Young Adult</v>
      </c>
      <c r="N410" t="str">
        <f t="shared" si="30"/>
        <v>Moderate</v>
      </c>
      <c r="O410" t="str">
        <f t="shared" si="31"/>
        <v>Medium</v>
      </c>
      <c r="P410" t="str">
        <f t="shared" si="32"/>
        <v>Healthy</v>
      </c>
      <c r="Q410">
        <f t="shared" si="33"/>
        <v>0</v>
      </c>
      <c r="R410" t="str">
        <f t="shared" si="34"/>
        <v>Good</v>
      </c>
      <c r="S410">
        <f>COUNTIF('Students Social Media Addiction'!O:O,"High")/COUNTA(Table1[Student_ID])</f>
        <v>0.5787234042553191</v>
      </c>
      <c r="T410">
        <f>AVERAGE(Table1[Academic Impact Flag])</f>
        <v>0.64255319148936174</v>
      </c>
      <c r="U410">
        <f>AVERAGE(Table1[Sleep_Hours_Per_Night])</f>
        <v>6.868936170212768</v>
      </c>
      <c r="V410">
        <f>AVERAGE(Table1[Mental_Health_Score])</f>
        <v>6.2269503546099294</v>
      </c>
    </row>
    <row r="411" spans="1:22" x14ac:dyDescent="0.3">
      <c r="A411">
        <v>410</v>
      </c>
      <c r="B411">
        <v>21</v>
      </c>
      <c r="C411" t="s">
        <v>18</v>
      </c>
      <c r="D411" t="s">
        <v>19</v>
      </c>
      <c r="E411" t="s">
        <v>30</v>
      </c>
      <c r="F411">
        <v>4.5</v>
      </c>
      <c r="G411" t="s">
        <v>15</v>
      </c>
      <c r="H411" t="s">
        <v>16</v>
      </c>
      <c r="I411">
        <v>7.7</v>
      </c>
      <c r="J411">
        <v>6</v>
      </c>
      <c r="K411" t="s">
        <v>23</v>
      </c>
      <c r="L411">
        <v>7</v>
      </c>
      <c r="M411" t="str">
        <f>IF(Table1[[#This Row],[Age]]&lt;=18,"Teen",IF(Table1[[#This Row],[Age]]&lt;=21,"Young Adult","Adult"))</f>
        <v>Young Adult</v>
      </c>
      <c r="N411" t="str">
        <f t="shared" si="30"/>
        <v>High</v>
      </c>
      <c r="O411" t="str">
        <f t="shared" si="31"/>
        <v>High</v>
      </c>
      <c r="P411" t="str">
        <f t="shared" si="32"/>
        <v>Healthy</v>
      </c>
      <c r="Q411">
        <f t="shared" si="33"/>
        <v>1</v>
      </c>
      <c r="R411" t="str">
        <f t="shared" si="34"/>
        <v>Average</v>
      </c>
      <c r="S411">
        <f>COUNTIF('Students Social Media Addiction'!O:O,"High")/COUNTA(Table1[Student_ID])</f>
        <v>0.5787234042553191</v>
      </c>
      <c r="T411">
        <f>AVERAGE(Table1[Academic Impact Flag])</f>
        <v>0.64255319148936174</v>
      </c>
      <c r="U411">
        <f>AVERAGE(Table1[Sleep_Hours_Per_Night])</f>
        <v>6.868936170212768</v>
      </c>
      <c r="V411">
        <f>AVERAGE(Table1[Mental_Health_Score])</f>
        <v>6.2269503546099294</v>
      </c>
    </row>
    <row r="412" spans="1:22" x14ac:dyDescent="0.3">
      <c r="A412">
        <v>411</v>
      </c>
      <c r="B412">
        <v>20</v>
      </c>
      <c r="C412" t="s">
        <v>12</v>
      </c>
      <c r="D412" t="s">
        <v>13</v>
      </c>
      <c r="E412" t="s">
        <v>40</v>
      </c>
      <c r="F412">
        <v>4.3</v>
      </c>
      <c r="G412" t="s">
        <v>25</v>
      </c>
      <c r="H412" t="s">
        <v>16</v>
      </c>
      <c r="I412">
        <v>7.6</v>
      </c>
      <c r="J412">
        <v>6</v>
      </c>
      <c r="K412" t="s">
        <v>23</v>
      </c>
      <c r="L412">
        <v>7</v>
      </c>
      <c r="M412" t="str">
        <f>IF(Table1[[#This Row],[Age]]&lt;=18,"Teen",IF(Table1[[#This Row],[Age]]&lt;=21,"Young Adult","Adult"))</f>
        <v>Young Adult</v>
      </c>
      <c r="N412" t="str">
        <f t="shared" si="30"/>
        <v>High</v>
      </c>
      <c r="O412" t="str">
        <f t="shared" si="31"/>
        <v>High</v>
      </c>
      <c r="P412" t="str">
        <f t="shared" si="32"/>
        <v>Healthy</v>
      </c>
      <c r="Q412">
        <f t="shared" si="33"/>
        <v>1</v>
      </c>
      <c r="R412" t="str">
        <f t="shared" si="34"/>
        <v>Average</v>
      </c>
      <c r="S412">
        <f>COUNTIF('Students Social Media Addiction'!O:O,"High")/COUNTA(Table1[Student_ID])</f>
        <v>0.5787234042553191</v>
      </c>
      <c r="T412">
        <f>AVERAGE(Table1[Academic Impact Flag])</f>
        <v>0.64255319148936174</v>
      </c>
      <c r="U412">
        <f>AVERAGE(Table1[Sleep_Hours_Per_Night])</f>
        <v>6.868936170212768</v>
      </c>
      <c r="V412">
        <f>AVERAGE(Table1[Mental_Health_Score])</f>
        <v>6.2269503546099294</v>
      </c>
    </row>
    <row r="413" spans="1:22" x14ac:dyDescent="0.3">
      <c r="A413">
        <v>412</v>
      </c>
      <c r="B413">
        <v>22</v>
      </c>
      <c r="C413" t="s">
        <v>18</v>
      </c>
      <c r="D413" t="s">
        <v>19</v>
      </c>
      <c r="E413" t="s">
        <v>47</v>
      </c>
      <c r="F413">
        <v>3.1</v>
      </c>
      <c r="G413" t="s">
        <v>31</v>
      </c>
      <c r="H413" t="s">
        <v>22</v>
      </c>
      <c r="I413">
        <v>8.6999999999999993</v>
      </c>
      <c r="J413">
        <v>8</v>
      </c>
      <c r="K413" t="s">
        <v>17</v>
      </c>
      <c r="L413">
        <v>4</v>
      </c>
      <c r="M413" t="str">
        <f>IF(Table1[[#This Row],[Age]]&lt;=18,"Teen",IF(Table1[[#This Row],[Age]]&lt;=21,"Young Adult","Adult"))</f>
        <v>Adult</v>
      </c>
      <c r="N413" t="str">
        <f t="shared" si="30"/>
        <v>Moderate</v>
      </c>
      <c r="O413" t="str">
        <f t="shared" si="31"/>
        <v>Medium</v>
      </c>
      <c r="P413" t="str">
        <f t="shared" si="32"/>
        <v>Healthy</v>
      </c>
      <c r="Q413">
        <f t="shared" si="33"/>
        <v>0</v>
      </c>
      <c r="R413" t="str">
        <f t="shared" si="34"/>
        <v>Good</v>
      </c>
      <c r="S413">
        <f>COUNTIF('Students Social Media Addiction'!O:O,"High")/COUNTA(Table1[Student_ID])</f>
        <v>0.5787234042553191</v>
      </c>
      <c r="T413">
        <f>AVERAGE(Table1[Academic Impact Flag])</f>
        <v>0.64255319148936174</v>
      </c>
      <c r="U413">
        <f>AVERAGE(Table1[Sleep_Hours_Per_Night])</f>
        <v>6.868936170212768</v>
      </c>
      <c r="V413">
        <f>AVERAGE(Table1[Mental_Health_Score])</f>
        <v>6.2269503546099294</v>
      </c>
    </row>
    <row r="414" spans="1:22" x14ac:dyDescent="0.3">
      <c r="A414">
        <v>413</v>
      </c>
      <c r="B414">
        <v>19</v>
      </c>
      <c r="C414" t="s">
        <v>12</v>
      </c>
      <c r="D414" t="s">
        <v>13</v>
      </c>
      <c r="E414" t="s">
        <v>54</v>
      </c>
      <c r="F414">
        <v>4</v>
      </c>
      <c r="G414" t="s">
        <v>15</v>
      </c>
      <c r="H414" t="s">
        <v>16</v>
      </c>
      <c r="I414">
        <v>7.9</v>
      </c>
      <c r="J414">
        <v>7</v>
      </c>
      <c r="K414" t="s">
        <v>23</v>
      </c>
      <c r="L414">
        <v>6</v>
      </c>
      <c r="M414" t="str">
        <f>IF(Table1[[#This Row],[Age]]&lt;=18,"Teen",IF(Table1[[#This Row],[Age]]&lt;=21,"Young Adult","Adult"))</f>
        <v>Young Adult</v>
      </c>
      <c r="N414" t="str">
        <f t="shared" si="30"/>
        <v>High</v>
      </c>
      <c r="O414" t="str">
        <f t="shared" si="31"/>
        <v>Medium</v>
      </c>
      <c r="P414" t="str">
        <f t="shared" si="32"/>
        <v>Healthy</v>
      </c>
      <c r="Q414">
        <f t="shared" si="33"/>
        <v>1</v>
      </c>
      <c r="R414" t="str">
        <f t="shared" si="34"/>
        <v>Good</v>
      </c>
      <c r="S414">
        <f>COUNTIF('Students Social Media Addiction'!O:O,"High")/COUNTA(Table1[Student_ID])</f>
        <v>0.5787234042553191</v>
      </c>
      <c r="T414">
        <f>AVERAGE(Table1[Academic Impact Flag])</f>
        <v>0.64255319148936174</v>
      </c>
      <c r="U414">
        <f>AVERAGE(Table1[Sleep_Hours_Per_Night])</f>
        <v>6.868936170212768</v>
      </c>
      <c r="V414">
        <f>AVERAGE(Table1[Mental_Health_Score])</f>
        <v>6.2269503546099294</v>
      </c>
    </row>
    <row r="415" spans="1:22" x14ac:dyDescent="0.3">
      <c r="A415">
        <v>414</v>
      </c>
      <c r="B415">
        <v>21</v>
      </c>
      <c r="C415" t="s">
        <v>18</v>
      </c>
      <c r="D415" t="s">
        <v>19</v>
      </c>
      <c r="E415" t="s">
        <v>20</v>
      </c>
      <c r="F415">
        <v>6.7</v>
      </c>
      <c r="G415" t="s">
        <v>142</v>
      </c>
      <c r="H415" t="s">
        <v>16</v>
      </c>
      <c r="I415">
        <v>5.6</v>
      </c>
      <c r="J415">
        <v>5</v>
      </c>
      <c r="K415" t="s">
        <v>17</v>
      </c>
      <c r="L415">
        <v>8</v>
      </c>
      <c r="M415" t="str">
        <f>IF(Table1[[#This Row],[Age]]&lt;=18,"Teen",IF(Table1[[#This Row],[Age]]&lt;=21,"Young Adult","Adult"))</f>
        <v>Young Adult</v>
      </c>
      <c r="N415" t="str">
        <f t="shared" si="30"/>
        <v>Very High</v>
      </c>
      <c r="O415" t="str">
        <f t="shared" si="31"/>
        <v>High</v>
      </c>
      <c r="P415" t="str">
        <f t="shared" si="32"/>
        <v>Poor</v>
      </c>
      <c r="Q415">
        <f t="shared" si="33"/>
        <v>1</v>
      </c>
      <c r="R415" t="str">
        <f t="shared" si="34"/>
        <v>Average</v>
      </c>
      <c r="S415">
        <f>COUNTIF('Students Social Media Addiction'!O:O,"High")/COUNTA(Table1[Student_ID])</f>
        <v>0.5787234042553191</v>
      </c>
      <c r="T415">
        <f>AVERAGE(Table1[Academic Impact Flag])</f>
        <v>0.64255319148936174</v>
      </c>
      <c r="U415">
        <f>AVERAGE(Table1[Sleep_Hours_Per_Night])</f>
        <v>6.868936170212768</v>
      </c>
      <c r="V415">
        <f>AVERAGE(Table1[Mental_Health_Score])</f>
        <v>6.2269503546099294</v>
      </c>
    </row>
    <row r="416" spans="1:22" x14ac:dyDescent="0.3">
      <c r="A416">
        <v>415</v>
      </c>
      <c r="B416">
        <v>20</v>
      </c>
      <c r="C416" t="s">
        <v>12</v>
      </c>
      <c r="D416" t="s">
        <v>13</v>
      </c>
      <c r="E416" t="s">
        <v>50</v>
      </c>
      <c r="F416">
        <v>3</v>
      </c>
      <c r="G416" t="s">
        <v>15</v>
      </c>
      <c r="H416" t="s">
        <v>22</v>
      </c>
      <c r="I416">
        <v>8.8000000000000007</v>
      </c>
      <c r="J416">
        <v>8</v>
      </c>
      <c r="K416" t="s">
        <v>23</v>
      </c>
      <c r="L416">
        <v>4</v>
      </c>
      <c r="M416" t="str">
        <f>IF(Table1[[#This Row],[Age]]&lt;=18,"Teen",IF(Table1[[#This Row],[Age]]&lt;=21,"Young Adult","Adult"))</f>
        <v>Young Adult</v>
      </c>
      <c r="N416" t="str">
        <f t="shared" si="30"/>
        <v>Moderate</v>
      </c>
      <c r="O416" t="str">
        <f t="shared" si="31"/>
        <v>Medium</v>
      </c>
      <c r="P416" t="str">
        <f t="shared" si="32"/>
        <v>Healthy</v>
      </c>
      <c r="Q416">
        <f t="shared" si="33"/>
        <v>0</v>
      </c>
      <c r="R416" t="str">
        <f t="shared" si="34"/>
        <v>Good</v>
      </c>
      <c r="S416">
        <f>COUNTIF('Students Social Media Addiction'!O:O,"High")/COUNTA(Table1[Student_ID])</f>
        <v>0.5787234042553191</v>
      </c>
      <c r="T416">
        <f>AVERAGE(Table1[Academic Impact Flag])</f>
        <v>0.64255319148936174</v>
      </c>
      <c r="U416">
        <f>AVERAGE(Table1[Sleep_Hours_Per_Night])</f>
        <v>6.868936170212768</v>
      </c>
      <c r="V416">
        <f>AVERAGE(Table1[Mental_Health_Score])</f>
        <v>6.2269503546099294</v>
      </c>
    </row>
    <row r="417" spans="1:22" x14ac:dyDescent="0.3">
      <c r="A417">
        <v>416</v>
      </c>
      <c r="B417">
        <v>22</v>
      </c>
      <c r="C417" t="s">
        <v>18</v>
      </c>
      <c r="D417" t="s">
        <v>19</v>
      </c>
      <c r="E417" t="s">
        <v>64</v>
      </c>
      <c r="F417">
        <v>4.5999999999999996</v>
      </c>
      <c r="G417" t="s">
        <v>25</v>
      </c>
      <c r="H417" t="s">
        <v>16</v>
      </c>
      <c r="I417">
        <v>7.6</v>
      </c>
      <c r="J417">
        <v>6</v>
      </c>
      <c r="K417" t="s">
        <v>23</v>
      </c>
      <c r="L417">
        <v>7</v>
      </c>
      <c r="M417" t="str">
        <f>IF(Table1[[#This Row],[Age]]&lt;=18,"Teen",IF(Table1[[#This Row],[Age]]&lt;=21,"Young Adult","Adult"))</f>
        <v>Adult</v>
      </c>
      <c r="N417" t="str">
        <f t="shared" si="30"/>
        <v>High</v>
      </c>
      <c r="O417" t="str">
        <f t="shared" si="31"/>
        <v>High</v>
      </c>
      <c r="P417" t="str">
        <f t="shared" si="32"/>
        <v>Healthy</v>
      </c>
      <c r="Q417">
        <f t="shared" si="33"/>
        <v>1</v>
      </c>
      <c r="R417" t="str">
        <f t="shared" si="34"/>
        <v>Average</v>
      </c>
      <c r="S417">
        <f>COUNTIF('Students Social Media Addiction'!O:O,"High")/COUNTA(Table1[Student_ID])</f>
        <v>0.5787234042553191</v>
      </c>
      <c r="T417">
        <f>AVERAGE(Table1[Academic Impact Flag])</f>
        <v>0.64255319148936174</v>
      </c>
      <c r="U417">
        <f>AVERAGE(Table1[Sleep_Hours_Per_Night])</f>
        <v>6.868936170212768</v>
      </c>
      <c r="V417">
        <f>AVERAGE(Table1[Mental_Health_Score])</f>
        <v>6.2269503546099294</v>
      </c>
    </row>
    <row r="418" spans="1:22" x14ac:dyDescent="0.3">
      <c r="A418">
        <v>417</v>
      </c>
      <c r="B418">
        <v>19</v>
      </c>
      <c r="C418" t="s">
        <v>12</v>
      </c>
      <c r="D418" t="s">
        <v>13</v>
      </c>
      <c r="E418" t="s">
        <v>24</v>
      </c>
      <c r="F418">
        <v>7.7</v>
      </c>
      <c r="G418" t="s">
        <v>15</v>
      </c>
      <c r="H418" t="s">
        <v>16</v>
      </c>
      <c r="I418">
        <v>4.5999999999999996</v>
      </c>
      <c r="J418">
        <v>5</v>
      </c>
      <c r="K418" t="s">
        <v>17</v>
      </c>
      <c r="L418">
        <v>9</v>
      </c>
      <c r="M418" t="str">
        <f>IF(Table1[[#This Row],[Age]]&lt;=18,"Teen",IF(Table1[[#This Row],[Age]]&lt;=21,"Young Adult","Adult"))</f>
        <v>Young Adult</v>
      </c>
      <c r="N418" t="str">
        <f t="shared" si="30"/>
        <v>Very High</v>
      </c>
      <c r="O418" t="str">
        <f t="shared" si="31"/>
        <v>High</v>
      </c>
      <c r="P418" t="str">
        <f t="shared" si="32"/>
        <v>Poor</v>
      </c>
      <c r="Q418">
        <f t="shared" si="33"/>
        <v>1</v>
      </c>
      <c r="R418" t="str">
        <f t="shared" si="34"/>
        <v>Average</v>
      </c>
      <c r="S418">
        <f>COUNTIF('Students Social Media Addiction'!O:O,"High")/COUNTA(Table1[Student_ID])</f>
        <v>0.5787234042553191</v>
      </c>
      <c r="T418">
        <f>AVERAGE(Table1[Academic Impact Flag])</f>
        <v>0.64255319148936174</v>
      </c>
      <c r="U418">
        <f>AVERAGE(Table1[Sleep_Hours_Per_Night])</f>
        <v>6.868936170212768</v>
      </c>
      <c r="V418">
        <f>AVERAGE(Table1[Mental_Health_Score])</f>
        <v>6.2269503546099294</v>
      </c>
    </row>
    <row r="419" spans="1:22" x14ac:dyDescent="0.3">
      <c r="A419">
        <v>418</v>
      </c>
      <c r="B419">
        <v>21</v>
      </c>
      <c r="C419" t="s">
        <v>18</v>
      </c>
      <c r="D419" t="s">
        <v>19</v>
      </c>
      <c r="E419" t="s">
        <v>42</v>
      </c>
      <c r="F419">
        <v>6.5</v>
      </c>
      <c r="G419" t="s">
        <v>142</v>
      </c>
      <c r="H419" t="s">
        <v>16</v>
      </c>
      <c r="I419">
        <v>5.7</v>
      </c>
      <c r="J419">
        <v>6</v>
      </c>
      <c r="K419" t="s">
        <v>23</v>
      </c>
      <c r="L419">
        <v>7</v>
      </c>
      <c r="M419" t="str">
        <f>IF(Table1[[#This Row],[Age]]&lt;=18,"Teen",IF(Table1[[#This Row],[Age]]&lt;=21,"Young Adult","Adult"))</f>
        <v>Young Adult</v>
      </c>
      <c r="N419" t="str">
        <f t="shared" si="30"/>
        <v>Very High</v>
      </c>
      <c r="O419" t="str">
        <f t="shared" si="31"/>
        <v>High</v>
      </c>
      <c r="P419" t="str">
        <f t="shared" si="32"/>
        <v>Poor</v>
      </c>
      <c r="Q419">
        <f t="shared" si="33"/>
        <v>1</v>
      </c>
      <c r="R419" t="str">
        <f t="shared" si="34"/>
        <v>Average</v>
      </c>
      <c r="S419">
        <f>COUNTIF('Students Social Media Addiction'!O:O,"High")/COUNTA(Table1[Student_ID])</f>
        <v>0.5787234042553191</v>
      </c>
      <c r="T419">
        <f>AVERAGE(Table1[Academic Impact Flag])</f>
        <v>0.64255319148936174</v>
      </c>
      <c r="U419">
        <f>AVERAGE(Table1[Sleep_Hours_Per_Night])</f>
        <v>6.868936170212768</v>
      </c>
      <c r="V419">
        <f>AVERAGE(Table1[Mental_Health_Score])</f>
        <v>6.2269503546099294</v>
      </c>
    </row>
    <row r="420" spans="1:22" x14ac:dyDescent="0.3">
      <c r="A420">
        <v>419</v>
      </c>
      <c r="B420">
        <v>20</v>
      </c>
      <c r="C420" t="s">
        <v>12</v>
      </c>
      <c r="D420" t="s">
        <v>13</v>
      </c>
      <c r="E420" t="s">
        <v>39</v>
      </c>
      <c r="F420">
        <v>3.6</v>
      </c>
      <c r="G420" t="s">
        <v>15</v>
      </c>
      <c r="H420" t="s">
        <v>22</v>
      </c>
      <c r="I420">
        <v>8.4</v>
      </c>
      <c r="J420">
        <v>7</v>
      </c>
      <c r="K420" t="s">
        <v>17</v>
      </c>
      <c r="L420">
        <v>5</v>
      </c>
      <c r="M420" t="str">
        <f>IF(Table1[[#This Row],[Age]]&lt;=18,"Teen",IF(Table1[[#This Row],[Age]]&lt;=21,"Young Adult","Adult"))</f>
        <v>Young Adult</v>
      </c>
      <c r="N420" t="str">
        <f t="shared" si="30"/>
        <v>Moderate</v>
      </c>
      <c r="O420" t="str">
        <f t="shared" si="31"/>
        <v>Medium</v>
      </c>
      <c r="P420" t="str">
        <f t="shared" si="32"/>
        <v>Healthy</v>
      </c>
      <c r="Q420">
        <f t="shared" si="33"/>
        <v>0</v>
      </c>
      <c r="R420" t="str">
        <f t="shared" si="34"/>
        <v>Good</v>
      </c>
      <c r="S420">
        <f>COUNTIF('Students Social Media Addiction'!O:O,"High")/COUNTA(Table1[Student_ID])</f>
        <v>0.5787234042553191</v>
      </c>
      <c r="T420">
        <f>AVERAGE(Table1[Academic Impact Flag])</f>
        <v>0.64255319148936174</v>
      </c>
      <c r="U420">
        <f>AVERAGE(Table1[Sleep_Hours_Per_Night])</f>
        <v>6.868936170212768</v>
      </c>
      <c r="V420">
        <f>AVERAGE(Table1[Mental_Health_Score])</f>
        <v>6.2269503546099294</v>
      </c>
    </row>
    <row r="421" spans="1:22" x14ac:dyDescent="0.3">
      <c r="A421">
        <v>420</v>
      </c>
      <c r="B421">
        <v>22</v>
      </c>
      <c r="C421" t="s">
        <v>18</v>
      </c>
      <c r="D421" t="s">
        <v>19</v>
      </c>
      <c r="E421" t="s">
        <v>30</v>
      </c>
      <c r="F421">
        <v>4.4000000000000004</v>
      </c>
      <c r="G421" t="s">
        <v>25</v>
      </c>
      <c r="H421" t="s">
        <v>16</v>
      </c>
      <c r="I421">
        <v>7.8</v>
      </c>
      <c r="J421">
        <v>6</v>
      </c>
      <c r="K421" t="s">
        <v>23</v>
      </c>
      <c r="L421">
        <v>7</v>
      </c>
      <c r="M421" t="str">
        <f>IF(Table1[[#This Row],[Age]]&lt;=18,"Teen",IF(Table1[[#This Row],[Age]]&lt;=21,"Young Adult","Adult"))</f>
        <v>Adult</v>
      </c>
      <c r="N421" t="str">
        <f t="shared" si="30"/>
        <v>High</v>
      </c>
      <c r="O421" t="str">
        <f t="shared" si="31"/>
        <v>High</v>
      </c>
      <c r="P421" t="str">
        <f t="shared" si="32"/>
        <v>Healthy</v>
      </c>
      <c r="Q421">
        <f t="shared" si="33"/>
        <v>1</v>
      </c>
      <c r="R421" t="str">
        <f t="shared" si="34"/>
        <v>Average</v>
      </c>
      <c r="S421">
        <f>COUNTIF('Students Social Media Addiction'!O:O,"High")/COUNTA(Table1[Student_ID])</f>
        <v>0.5787234042553191</v>
      </c>
      <c r="T421">
        <f>AVERAGE(Table1[Academic Impact Flag])</f>
        <v>0.64255319148936174</v>
      </c>
      <c r="U421">
        <f>AVERAGE(Table1[Sleep_Hours_Per_Night])</f>
        <v>6.868936170212768</v>
      </c>
      <c r="V421">
        <f>AVERAGE(Table1[Mental_Health_Score])</f>
        <v>6.2269503546099294</v>
      </c>
    </row>
    <row r="422" spans="1:22" x14ac:dyDescent="0.3">
      <c r="A422">
        <v>421</v>
      </c>
      <c r="B422">
        <v>19</v>
      </c>
      <c r="C422" t="s">
        <v>12</v>
      </c>
      <c r="D422" t="s">
        <v>13</v>
      </c>
      <c r="E422" t="s">
        <v>40</v>
      </c>
      <c r="F422">
        <v>4.2</v>
      </c>
      <c r="G422" t="s">
        <v>15</v>
      </c>
      <c r="H422" t="s">
        <v>16</v>
      </c>
      <c r="I422">
        <v>7.7</v>
      </c>
      <c r="J422">
        <v>6</v>
      </c>
      <c r="K422" t="s">
        <v>23</v>
      </c>
      <c r="L422">
        <v>7</v>
      </c>
      <c r="M422" t="str">
        <f>IF(Table1[[#This Row],[Age]]&lt;=18,"Teen",IF(Table1[[#This Row],[Age]]&lt;=21,"Young Adult","Adult"))</f>
        <v>Young Adult</v>
      </c>
      <c r="N422" t="str">
        <f t="shared" si="30"/>
        <v>High</v>
      </c>
      <c r="O422" t="str">
        <f t="shared" si="31"/>
        <v>High</v>
      </c>
      <c r="P422" t="str">
        <f t="shared" si="32"/>
        <v>Healthy</v>
      </c>
      <c r="Q422">
        <f t="shared" si="33"/>
        <v>1</v>
      </c>
      <c r="R422" t="str">
        <f t="shared" si="34"/>
        <v>Average</v>
      </c>
      <c r="S422">
        <f>COUNTIF('Students Social Media Addiction'!O:O,"High")/COUNTA(Table1[Student_ID])</f>
        <v>0.5787234042553191</v>
      </c>
      <c r="T422">
        <f>AVERAGE(Table1[Academic Impact Flag])</f>
        <v>0.64255319148936174</v>
      </c>
      <c r="U422">
        <f>AVERAGE(Table1[Sleep_Hours_Per_Night])</f>
        <v>6.868936170212768</v>
      </c>
      <c r="V422">
        <f>AVERAGE(Table1[Mental_Health_Score])</f>
        <v>6.2269503546099294</v>
      </c>
    </row>
    <row r="423" spans="1:22" x14ac:dyDescent="0.3">
      <c r="A423">
        <v>422</v>
      </c>
      <c r="B423">
        <v>21</v>
      </c>
      <c r="C423" t="s">
        <v>18</v>
      </c>
      <c r="D423" t="s">
        <v>19</v>
      </c>
      <c r="E423" t="s">
        <v>47</v>
      </c>
      <c r="F423">
        <v>3</v>
      </c>
      <c r="G423" t="s">
        <v>31</v>
      </c>
      <c r="H423" t="s">
        <v>22</v>
      </c>
      <c r="I423">
        <v>8.8000000000000007</v>
      </c>
      <c r="J423">
        <v>8</v>
      </c>
      <c r="K423" t="s">
        <v>17</v>
      </c>
      <c r="L423">
        <v>4</v>
      </c>
      <c r="M423" t="str">
        <f>IF(Table1[[#This Row],[Age]]&lt;=18,"Teen",IF(Table1[[#This Row],[Age]]&lt;=21,"Young Adult","Adult"))</f>
        <v>Young Adult</v>
      </c>
      <c r="N423" t="str">
        <f t="shared" si="30"/>
        <v>Moderate</v>
      </c>
      <c r="O423" t="str">
        <f t="shared" si="31"/>
        <v>Medium</v>
      </c>
      <c r="P423" t="str">
        <f t="shared" si="32"/>
        <v>Healthy</v>
      </c>
      <c r="Q423">
        <f t="shared" si="33"/>
        <v>0</v>
      </c>
      <c r="R423" t="str">
        <f t="shared" si="34"/>
        <v>Good</v>
      </c>
      <c r="S423">
        <f>COUNTIF('Students Social Media Addiction'!O:O,"High")/COUNTA(Table1[Student_ID])</f>
        <v>0.5787234042553191</v>
      </c>
      <c r="T423">
        <f>AVERAGE(Table1[Academic Impact Flag])</f>
        <v>0.64255319148936174</v>
      </c>
      <c r="U423">
        <f>AVERAGE(Table1[Sleep_Hours_Per_Night])</f>
        <v>6.868936170212768</v>
      </c>
      <c r="V423">
        <f>AVERAGE(Table1[Mental_Health_Score])</f>
        <v>6.2269503546099294</v>
      </c>
    </row>
    <row r="424" spans="1:22" x14ac:dyDescent="0.3">
      <c r="A424">
        <v>423</v>
      </c>
      <c r="B424">
        <v>20</v>
      </c>
      <c r="C424" t="s">
        <v>12</v>
      </c>
      <c r="D424" t="s">
        <v>13</v>
      </c>
      <c r="E424" t="s">
        <v>54</v>
      </c>
      <c r="F424">
        <v>3.9</v>
      </c>
      <c r="G424" t="s">
        <v>25</v>
      </c>
      <c r="H424" t="s">
        <v>16</v>
      </c>
      <c r="I424">
        <v>8</v>
      </c>
      <c r="J424">
        <v>7</v>
      </c>
      <c r="K424" t="s">
        <v>23</v>
      </c>
      <c r="L424">
        <v>6</v>
      </c>
      <c r="M424" t="str">
        <f>IF(Table1[[#This Row],[Age]]&lt;=18,"Teen",IF(Table1[[#This Row],[Age]]&lt;=21,"Young Adult","Adult"))</f>
        <v>Young Adult</v>
      </c>
      <c r="N424" t="str">
        <f t="shared" si="30"/>
        <v>Moderate</v>
      </c>
      <c r="O424" t="str">
        <f t="shared" si="31"/>
        <v>Medium</v>
      </c>
      <c r="P424" t="str">
        <f t="shared" si="32"/>
        <v>Healthy</v>
      </c>
      <c r="Q424">
        <f t="shared" si="33"/>
        <v>1</v>
      </c>
      <c r="R424" t="str">
        <f t="shared" si="34"/>
        <v>Good</v>
      </c>
      <c r="S424">
        <f>COUNTIF('Students Social Media Addiction'!O:O,"High")/COUNTA(Table1[Student_ID])</f>
        <v>0.5787234042553191</v>
      </c>
      <c r="T424">
        <f>AVERAGE(Table1[Academic Impact Flag])</f>
        <v>0.64255319148936174</v>
      </c>
      <c r="U424">
        <f>AVERAGE(Table1[Sleep_Hours_Per_Night])</f>
        <v>6.868936170212768</v>
      </c>
      <c r="V424">
        <f>AVERAGE(Table1[Mental_Health_Score])</f>
        <v>6.2269503546099294</v>
      </c>
    </row>
    <row r="425" spans="1:22" x14ac:dyDescent="0.3">
      <c r="A425">
        <v>424</v>
      </c>
      <c r="B425">
        <v>22</v>
      </c>
      <c r="C425" t="s">
        <v>18</v>
      </c>
      <c r="D425" t="s">
        <v>19</v>
      </c>
      <c r="E425" t="s">
        <v>20</v>
      </c>
      <c r="F425">
        <v>6.8</v>
      </c>
      <c r="G425" t="s">
        <v>142</v>
      </c>
      <c r="H425" t="s">
        <v>16</v>
      </c>
      <c r="I425">
        <v>5.5</v>
      </c>
      <c r="J425">
        <v>5</v>
      </c>
      <c r="K425" t="s">
        <v>17</v>
      </c>
      <c r="L425">
        <v>8</v>
      </c>
      <c r="M425" t="str">
        <f>IF(Table1[[#This Row],[Age]]&lt;=18,"Teen",IF(Table1[[#This Row],[Age]]&lt;=21,"Young Adult","Adult"))</f>
        <v>Adult</v>
      </c>
      <c r="N425" t="str">
        <f t="shared" si="30"/>
        <v>Very High</v>
      </c>
      <c r="O425" t="str">
        <f t="shared" si="31"/>
        <v>High</v>
      </c>
      <c r="P425" t="str">
        <f t="shared" si="32"/>
        <v>Poor</v>
      </c>
      <c r="Q425">
        <f t="shared" si="33"/>
        <v>1</v>
      </c>
      <c r="R425" t="str">
        <f t="shared" si="34"/>
        <v>Average</v>
      </c>
      <c r="S425">
        <f>COUNTIF('Students Social Media Addiction'!O:O,"High")/COUNTA(Table1[Student_ID])</f>
        <v>0.5787234042553191</v>
      </c>
      <c r="T425">
        <f>AVERAGE(Table1[Academic Impact Flag])</f>
        <v>0.64255319148936174</v>
      </c>
      <c r="U425">
        <f>AVERAGE(Table1[Sleep_Hours_Per_Night])</f>
        <v>6.868936170212768</v>
      </c>
      <c r="V425">
        <f>AVERAGE(Table1[Mental_Health_Score])</f>
        <v>6.2269503546099294</v>
      </c>
    </row>
    <row r="426" spans="1:22" x14ac:dyDescent="0.3">
      <c r="A426">
        <v>425</v>
      </c>
      <c r="B426">
        <v>19</v>
      </c>
      <c r="C426" t="s">
        <v>12</v>
      </c>
      <c r="D426" t="s">
        <v>13</v>
      </c>
      <c r="E426" t="s">
        <v>50</v>
      </c>
      <c r="F426">
        <v>2.9</v>
      </c>
      <c r="G426" t="s">
        <v>15</v>
      </c>
      <c r="H426" t="s">
        <v>22</v>
      </c>
      <c r="I426">
        <v>8.9</v>
      </c>
      <c r="J426">
        <v>8</v>
      </c>
      <c r="K426" t="s">
        <v>23</v>
      </c>
      <c r="L426">
        <v>4</v>
      </c>
      <c r="M426" t="str">
        <f>IF(Table1[[#This Row],[Age]]&lt;=18,"Teen",IF(Table1[[#This Row],[Age]]&lt;=21,"Young Adult","Adult"))</f>
        <v>Young Adult</v>
      </c>
      <c r="N426" t="str">
        <f t="shared" si="30"/>
        <v>Moderate</v>
      </c>
      <c r="O426" t="str">
        <f t="shared" si="31"/>
        <v>Medium</v>
      </c>
      <c r="P426" t="str">
        <f t="shared" si="32"/>
        <v>Healthy</v>
      </c>
      <c r="Q426">
        <f t="shared" si="33"/>
        <v>0</v>
      </c>
      <c r="R426" t="str">
        <f t="shared" si="34"/>
        <v>Good</v>
      </c>
      <c r="S426">
        <f>COUNTIF('Students Social Media Addiction'!O:O,"High")/COUNTA(Table1[Student_ID])</f>
        <v>0.5787234042553191</v>
      </c>
      <c r="T426">
        <f>AVERAGE(Table1[Academic Impact Flag])</f>
        <v>0.64255319148936174</v>
      </c>
      <c r="U426">
        <f>AVERAGE(Table1[Sleep_Hours_Per_Night])</f>
        <v>6.868936170212768</v>
      </c>
      <c r="V426">
        <f>AVERAGE(Table1[Mental_Health_Score])</f>
        <v>6.2269503546099294</v>
      </c>
    </row>
    <row r="427" spans="1:22" x14ac:dyDescent="0.3">
      <c r="A427">
        <v>426</v>
      </c>
      <c r="B427">
        <v>21</v>
      </c>
      <c r="C427" t="s">
        <v>18</v>
      </c>
      <c r="D427" t="s">
        <v>19</v>
      </c>
      <c r="E427" t="s">
        <v>64</v>
      </c>
      <c r="F427">
        <v>4.5</v>
      </c>
      <c r="G427" t="s">
        <v>15</v>
      </c>
      <c r="H427" t="s">
        <v>16</v>
      </c>
      <c r="I427">
        <v>7.7</v>
      </c>
      <c r="J427">
        <v>6</v>
      </c>
      <c r="K427" t="s">
        <v>23</v>
      </c>
      <c r="L427">
        <v>7</v>
      </c>
      <c r="M427" t="str">
        <f>IF(Table1[[#This Row],[Age]]&lt;=18,"Teen",IF(Table1[[#This Row],[Age]]&lt;=21,"Young Adult","Adult"))</f>
        <v>Young Adult</v>
      </c>
      <c r="N427" t="str">
        <f t="shared" si="30"/>
        <v>High</v>
      </c>
      <c r="O427" t="str">
        <f t="shared" si="31"/>
        <v>High</v>
      </c>
      <c r="P427" t="str">
        <f t="shared" si="32"/>
        <v>Healthy</v>
      </c>
      <c r="Q427">
        <f t="shared" si="33"/>
        <v>1</v>
      </c>
      <c r="R427" t="str">
        <f t="shared" si="34"/>
        <v>Average</v>
      </c>
      <c r="S427">
        <f>COUNTIF('Students Social Media Addiction'!O:O,"High")/COUNTA(Table1[Student_ID])</f>
        <v>0.5787234042553191</v>
      </c>
      <c r="T427">
        <f>AVERAGE(Table1[Academic Impact Flag])</f>
        <v>0.64255319148936174</v>
      </c>
      <c r="U427">
        <f>AVERAGE(Table1[Sleep_Hours_Per_Night])</f>
        <v>6.868936170212768</v>
      </c>
      <c r="V427">
        <f>AVERAGE(Table1[Mental_Health_Score])</f>
        <v>6.2269503546099294</v>
      </c>
    </row>
    <row r="428" spans="1:22" x14ac:dyDescent="0.3">
      <c r="A428">
        <v>427</v>
      </c>
      <c r="B428">
        <v>20</v>
      </c>
      <c r="C428" t="s">
        <v>12</v>
      </c>
      <c r="D428" t="s">
        <v>13</v>
      </c>
      <c r="E428" t="s">
        <v>24</v>
      </c>
      <c r="F428">
        <v>7.8</v>
      </c>
      <c r="G428" t="s">
        <v>25</v>
      </c>
      <c r="H428" t="s">
        <v>16</v>
      </c>
      <c r="I428">
        <v>4.5</v>
      </c>
      <c r="J428">
        <v>5</v>
      </c>
      <c r="K428" t="s">
        <v>17</v>
      </c>
      <c r="L428">
        <v>9</v>
      </c>
      <c r="M428" t="str">
        <f>IF(Table1[[#This Row],[Age]]&lt;=18,"Teen",IF(Table1[[#This Row],[Age]]&lt;=21,"Young Adult","Adult"))</f>
        <v>Young Adult</v>
      </c>
      <c r="N428" t="str">
        <f t="shared" si="30"/>
        <v>Very High</v>
      </c>
      <c r="O428" t="str">
        <f t="shared" si="31"/>
        <v>High</v>
      </c>
      <c r="P428" t="str">
        <f t="shared" si="32"/>
        <v>Poor</v>
      </c>
      <c r="Q428">
        <f t="shared" si="33"/>
        <v>1</v>
      </c>
      <c r="R428" t="str">
        <f t="shared" si="34"/>
        <v>Average</v>
      </c>
      <c r="S428">
        <f>COUNTIF('Students Social Media Addiction'!O:O,"High")/COUNTA(Table1[Student_ID])</f>
        <v>0.5787234042553191</v>
      </c>
      <c r="T428">
        <f>AVERAGE(Table1[Academic Impact Flag])</f>
        <v>0.64255319148936174</v>
      </c>
      <c r="U428">
        <f>AVERAGE(Table1[Sleep_Hours_Per_Night])</f>
        <v>6.868936170212768</v>
      </c>
      <c r="V428">
        <f>AVERAGE(Table1[Mental_Health_Score])</f>
        <v>6.2269503546099294</v>
      </c>
    </row>
    <row r="429" spans="1:22" x14ac:dyDescent="0.3">
      <c r="A429">
        <v>428</v>
      </c>
      <c r="B429">
        <v>22</v>
      </c>
      <c r="C429" t="s">
        <v>18</v>
      </c>
      <c r="D429" t="s">
        <v>19</v>
      </c>
      <c r="E429" t="s">
        <v>42</v>
      </c>
      <c r="F429">
        <v>6.6</v>
      </c>
      <c r="G429" t="s">
        <v>142</v>
      </c>
      <c r="H429" t="s">
        <v>16</v>
      </c>
      <c r="I429">
        <v>5.6</v>
      </c>
      <c r="J429">
        <v>6</v>
      </c>
      <c r="K429" t="s">
        <v>23</v>
      </c>
      <c r="L429">
        <v>7</v>
      </c>
      <c r="M429" t="str">
        <f>IF(Table1[[#This Row],[Age]]&lt;=18,"Teen",IF(Table1[[#This Row],[Age]]&lt;=21,"Young Adult","Adult"))</f>
        <v>Adult</v>
      </c>
      <c r="N429" t="str">
        <f t="shared" si="30"/>
        <v>Very High</v>
      </c>
      <c r="O429" t="str">
        <f t="shared" si="31"/>
        <v>High</v>
      </c>
      <c r="P429" t="str">
        <f t="shared" si="32"/>
        <v>Poor</v>
      </c>
      <c r="Q429">
        <f t="shared" si="33"/>
        <v>1</v>
      </c>
      <c r="R429" t="str">
        <f t="shared" si="34"/>
        <v>Average</v>
      </c>
      <c r="S429">
        <f>COUNTIF('Students Social Media Addiction'!O:O,"High")/COUNTA(Table1[Student_ID])</f>
        <v>0.5787234042553191</v>
      </c>
      <c r="T429">
        <f>AVERAGE(Table1[Academic Impact Flag])</f>
        <v>0.64255319148936174</v>
      </c>
      <c r="U429">
        <f>AVERAGE(Table1[Sleep_Hours_Per_Night])</f>
        <v>6.868936170212768</v>
      </c>
      <c r="V429">
        <f>AVERAGE(Table1[Mental_Health_Score])</f>
        <v>6.2269503546099294</v>
      </c>
    </row>
    <row r="430" spans="1:22" x14ac:dyDescent="0.3">
      <c r="A430">
        <v>429</v>
      </c>
      <c r="B430">
        <v>19</v>
      </c>
      <c r="C430" t="s">
        <v>12</v>
      </c>
      <c r="D430" t="s">
        <v>13</v>
      </c>
      <c r="E430" t="s">
        <v>39</v>
      </c>
      <c r="F430">
        <v>3.5</v>
      </c>
      <c r="G430" t="s">
        <v>15</v>
      </c>
      <c r="H430" t="s">
        <v>22</v>
      </c>
      <c r="I430">
        <v>8.5</v>
      </c>
      <c r="J430">
        <v>7</v>
      </c>
      <c r="K430" t="s">
        <v>17</v>
      </c>
      <c r="L430">
        <v>5</v>
      </c>
      <c r="M430" t="str">
        <f>IF(Table1[[#This Row],[Age]]&lt;=18,"Teen",IF(Table1[[#This Row],[Age]]&lt;=21,"Young Adult","Adult"))</f>
        <v>Young Adult</v>
      </c>
      <c r="N430" t="str">
        <f t="shared" si="30"/>
        <v>Moderate</v>
      </c>
      <c r="O430" t="str">
        <f t="shared" si="31"/>
        <v>Medium</v>
      </c>
      <c r="P430" t="str">
        <f t="shared" si="32"/>
        <v>Healthy</v>
      </c>
      <c r="Q430">
        <f t="shared" si="33"/>
        <v>0</v>
      </c>
      <c r="R430" t="str">
        <f t="shared" si="34"/>
        <v>Good</v>
      </c>
      <c r="S430">
        <f>COUNTIF('Students Social Media Addiction'!O:O,"High")/COUNTA(Table1[Student_ID])</f>
        <v>0.5787234042553191</v>
      </c>
      <c r="T430">
        <f>AVERAGE(Table1[Academic Impact Flag])</f>
        <v>0.64255319148936174</v>
      </c>
      <c r="U430">
        <f>AVERAGE(Table1[Sleep_Hours_Per_Night])</f>
        <v>6.868936170212768</v>
      </c>
      <c r="V430">
        <f>AVERAGE(Table1[Mental_Health_Score])</f>
        <v>6.2269503546099294</v>
      </c>
    </row>
    <row r="431" spans="1:22" x14ac:dyDescent="0.3">
      <c r="A431">
        <v>430</v>
      </c>
      <c r="B431">
        <v>21</v>
      </c>
      <c r="C431" t="s">
        <v>18</v>
      </c>
      <c r="D431" t="s">
        <v>19</v>
      </c>
      <c r="E431" t="s">
        <v>30</v>
      </c>
      <c r="F431">
        <v>4.3</v>
      </c>
      <c r="G431" t="s">
        <v>15</v>
      </c>
      <c r="H431" t="s">
        <v>16</v>
      </c>
      <c r="I431">
        <v>7.9</v>
      </c>
      <c r="J431">
        <v>6</v>
      </c>
      <c r="K431" t="s">
        <v>23</v>
      </c>
      <c r="L431">
        <v>7</v>
      </c>
      <c r="M431" t="str">
        <f>IF(Table1[[#This Row],[Age]]&lt;=18,"Teen",IF(Table1[[#This Row],[Age]]&lt;=21,"Young Adult","Adult"))</f>
        <v>Young Adult</v>
      </c>
      <c r="N431" t="str">
        <f t="shared" si="30"/>
        <v>High</v>
      </c>
      <c r="O431" t="str">
        <f t="shared" si="31"/>
        <v>High</v>
      </c>
      <c r="P431" t="str">
        <f t="shared" si="32"/>
        <v>Healthy</v>
      </c>
      <c r="Q431">
        <f t="shared" si="33"/>
        <v>1</v>
      </c>
      <c r="R431" t="str">
        <f t="shared" si="34"/>
        <v>Average</v>
      </c>
      <c r="S431">
        <f>COUNTIF('Students Social Media Addiction'!O:O,"High")/COUNTA(Table1[Student_ID])</f>
        <v>0.5787234042553191</v>
      </c>
      <c r="T431">
        <f>AVERAGE(Table1[Academic Impact Flag])</f>
        <v>0.64255319148936174</v>
      </c>
      <c r="U431">
        <f>AVERAGE(Table1[Sleep_Hours_Per_Night])</f>
        <v>6.868936170212768</v>
      </c>
      <c r="V431">
        <f>AVERAGE(Table1[Mental_Health_Score])</f>
        <v>6.2269503546099294</v>
      </c>
    </row>
    <row r="432" spans="1:22" x14ac:dyDescent="0.3">
      <c r="A432">
        <v>431</v>
      </c>
      <c r="B432">
        <v>20</v>
      </c>
      <c r="C432" t="s">
        <v>12</v>
      </c>
      <c r="D432" t="s">
        <v>13</v>
      </c>
      <c r="E432" t="s">
        <v>40</v>
      </c>
      <c r="F432">
        <v>4.0999999999999996</v>
      </c>
      <c r="G432" t="s">
        <v>25</v>
      </c>
      <c r="H432" t="s">
        <v>16</v>
      </c>
      <c r="I432">
        <v>7.8</v>
      </c>
      <c r="J432">
        <v>6</v>
      </c>
      <c r="K432" t="s">
        <v>23</v>
      </c>
      <c r="L432">
        <v>7</v>
      </c>
      <c r="M432" t="str">
        <f>IF(Table1[[#This Row],[Age]]&lt;=18,"Teen",IF(Table1[[#This Row],[Age]]&lt;=21,"Young Adult","Adult"))</f>
        <v>Young Adult</v>
      </c>
      <c r="N432" t="str">
        <f t="shared" si="30"/>
        <v>High</v>
      </c>
      <c r="O432" t="str">
        <f t="shared" si="31"/>
        <v>High</v>
      </c>
      <c r="P432" t="str">
        <f t="shared" si="32"/>
        <v>Healthy</v>
      </c>
      <c r="Q432">
        <f t="shared" si="33"/>
        <v>1</v>
      </c>
      <c r="R432" t="str">
        <f t="shared" si="34"/>
        <v>Average</v>
      </c>
      <c r="S432">
        <f>COUNTIF('Students Social Media Addiction'!O:O,"High")/COUNTA(Table1[Student_ID])</f>
        <v>0.5787234042553191</v>
      </c>
      <c r="T432">
        <f>AVERAGE(Table1[Academic Impact Flag])</f>
        <v>0.64255319148936174</v>
      </c>
      <c r="U432">
        <f>AVERAGE(Table1[Sleep_Hours_Per_Night])</f>
        <v>6.868936170212768</v>
      </c>
      <c r="V432">
        <f>AVERAGE(Table1[Mental_Health_Score])</f>
        <v>6.2269503546099294</v>
      </c>
    </row>
    <row r="433" spans="1:22" x14ac:dyDescent="0.3">
      <c r="A433">
        <v>432</v>
      </c>
      <c r="B433">
        <v>22</v>
      </c>
      <c r="C433" t="s">
        <v>18</v>
      </c>
      <c r="D433" t="s">
        <v>19</v>
      </c>
      <c r="E433" t="s">
        <v>47</v>
      </c>
      <c r="F433">
        <v>2.9</v>
      </c>
      <c r="G433" t="s">
        <v>31</v>
      </c>
      <c r="H433" t="s">
        <v>22</v>
      </c>
      <c r="I433">
        <v>8.9</v>
      </c>
      <c r="J433">
        <v>8</v>
      </c>
      <c r="K433" t="s">
        <v>17</v>
      </c>
      <c r="L433">
        <v>4</v>
      </c>
      <c r="M433" t="str">
        <f>IF(Table1[[#This Row],[Age]]&lt;=18,"Teen",IF(Table1[[#This Row],[Age]]&lt;=21,"Young Adult","Adult"))</f>
        <v>Adult</v>
      </c>
      <c r="N433" t="str">
        <f t="shared" si="30"/>
        <v>Moderate</v>
      </c>
      <c r="O433" t="str">
        <f t="shared" si="31"/>
        <v>Medium</v>
      </c>
      <c r="P433" t="str">
        <f t="shared" si="32"/>
        <v>Healthy</v>
      </c>
      <c r="Q433">
        <f t="shared" si="33"/>
        <v>0</v>
      </c>
      <c r="R433" t="str">
        <f t="shared" si="34"/>
        <v>Good</v>
      </c>
      <c r="S433">
        <f>COUNTIF('Students Social Media Addiction'!O:O,"High")/COUNTA(Table1[Student_ID])</f>
        <v>0.5787234042553191</v>
      </c>
      <c r="T433">
        <f>AVERAGE(Table1[Academic Impact Flag])</f>
        <v>0.64255319148936174</v>
      </c>
      <c r="U433">
        <f>AVERAGE(Table1[Sleep_Hours_Per_Night])</f>
        <v>6.868936170212768</v>
      </c>
      <c r="V433">
        <f>AVERAGE(Table1[Mental_Health_Score])</f>
        <v>6.2269503546099294</v>
      </c>
    </row>
    <row r="434" spans="1:22" x14ac:dyDescent="0.3">
      <c r="A434">
        <v>433</v>
      </c>
      <c r="B434">
        <v>19</v>
      </c>
      <c r="C434" t="s">
        <v>12</v>
      </c>
      <c r="D434" t="s">
        <v>13</v>
      </c>
      <c r="E434" t="s">
        <v>54</v>
      </c>
      <c r="F434">
        <v>3.8</v>
      </c>
      <c r="G434" t="s">
        <v>15</v>
      </c>
      <c r="H434" t="s">
        <v>16</v>
      </c>
      <c r="I434">
        <v>8.1</v>
      </c>
      <c r="J434">
        <v>7</v>
      </c>
      <c r="K434" t="s">
        <v>23</v>
      </c>
      <c r="L434">
        <v>6</v>
      </c>
      <c r="M434" t="str">
        <f>IF(Table1[[#This Row],[Age]]&lt;=18,"Teen",IF(Table1[[#This Row],[Age]]&lt;=21,"Young Adult","Adult"))</f>
        <v>Young Adult</v>
      </c>
      <c r="N434" t="str">
        <f t="shared" si="30"/>
        <v>Moderate</v>
      </c>
      <c r="O434" t="str">
        <f t="shared" si="31"/>
        <v>Medium</v>
      </c>
      <c r="P434" t="str">
        <f t="shared" si="32"/>
        <v>Healthy</v>
      </c>
      <c r="Q434">
        <f t="shared" si="33"/>
        <v>1</v>
      </c>
      <c r="R434" t="str">
        <f t="shared" si="34"/>
        <v>Good</v>
      </c>
      <c r="S434">
        <f>COUNTIF('Students Social Media Addiction'!O:O,"High")/COUNTA(Table1[Student_ID])</f>
        <v>0.5787234042553191</v>
      </c>
      <c r="T434">
        <f>AVERAGE(Table1[Academic Impact Flag])</f>
        <v>0.64255319148936174</v>
      </c>
      <c r="U434">
        <f>AVERAGE(Table1[Sleep_Hours_Per_Night])</f>
        <v>6.868936170212768</v>
      </c>
      <c r="V434">
        <f>AVERAGE(Table1[Mental_Health_Score])</f>
        <v>6.2269503546099294</v>
      </c>
    </row>
    <row r="435" spans="1:22" x14ac:dyDescent="0.3">
      <c r="A435">
        <v>434</v>
      </c>
      <c r="B435">
        <v>21</v>
      </c>
      <c r="C435" t="s">
        <v>18</v>
      </c>
      <c r="D435" t="s">
        <v>19</v>
      </c>
      <c r="E435" t="s">
        <v>20</v>
      </c>
      <c r="F435">
        <v>6.9</v>
      </c>
      <c r="G435" t="s">
        <v>142</v>
      </c>
      <c r="H435" t="s">
        <v>16</v>
      </c>
      <c r="I435">
        <v>5.4</v>
      </c>
      <c r="J435">
        <v>5</v>
      </c>
      <c r="K435" t="s">
        <v>17</v>
      </c>
      <c r="L435">
        <v>8</v>
      </c>
      <c r="M435" t="str">
        <f>IF(Table1[[#This Row],[Age]]&lt;=18,"Teen",IF(Table1[[#This Row],[Age]]&lt;=21,"Young Adult","Adult"))</f>
        <v>Young Adult</v>
      </c>
      <c r="N435" t="str">
        <f t="shared" si="30"/>
        <v>Very High</v>
      </c>
      <c r="O435" t="str">
        <f t="shared" si="31"/>
        <v>High</v>
      </c>
      <c r="P435" t="str">
        <f t="shared" si="32"/>
        <v>Poor</v>
      </c>
      <c r="Q435">
        <f t="shared" si="33"/>
        <v>1</v>
      </c>
      <c r="R435" t="str">
        <f t="shared" si="34"/>
        <v>Average</v>
      </c>
      <c r="S435">
        <f>COUNTIF('Students Social Media Addiction'!O:O,"High")/COUNTA(Table1[Student_ID])</f>
        <v>0.5787234042553191</v>
      </c>
      <c r="T435">
        <f>AVERAGE(Table1[Academic Impact Flag])</f>
        <v>0.64255319148936174</v>
      </c>
      <c r="U435">
        <f>AVERAGE(Table1[Sleep_Hours_Per_Night])</f>
        <v>6.868936170212768</v>
      </c>
      <c r="V435">
        <f>AVERAGE(Table1[Mental_Health_Score])</f>
        <v>6.2269503546099294</v>
      </c>
    </row>
    <row r="436" spans="1:22" x14ac:dyDescent="0.3">
      <c r="A436">
        <v>435</v>
      </c>
      <c r="B436">
        <v>20</v>
      </c>
      <c r="C436" t="s">
        <v>12</v>
      </c>
      <c r="D436" t="s">
        <v>13</v>
      </c>
      <c r="E436" t="s">
        <v>50</v>
      </c>
      <c r="F436">
        <v>2.8</v>
      </c>
      <c r="G436" t="s">
        <v>15</v>
      </c>
      <c r="H436" t="s">
        <v>22</v>
      </c>
      <c r="I436">
        <v>9</v>
      </c>
      <c r="J436">
        <v>8</v>
      </c>
      <c r="K436" t="s">
        <v>23</v>
      </c>
      <c r="L436">
        <v>4</v>
      </c>
      <c r="M436" t="str">
        <f>IF(Table1[[#This Row],[Age]]&lt;=18,"Teen",IF(Table1[[#This Row],[Age]]&lt;=21,"Young Adult","Adult"))</f>
        <v>Young Adult</v>
      </c>
      <c r="N436" t="str">
        <f t="shared" si="30"/>
        <v>Moderate</v>
      </c>
      <c r="O436" t="str">
        <f t="shared" si="31"/>
        <v>Medium</v>
      </c>
      <c r="P436" t="str">
        <f t="shared" si="32"/>
        <v>Healthy</v>
      </c>
      <c r="Q436">
        <f t="shared" si="33"/>
        <v>0</v>
      </c>
      <c r="R436" t="str">
        <f t="shared" si="34"/>
        <v>Good</v>
      </c>
      <c r="S436">
        <f>COUNTIF('Students Social Media Addiction'!O:O,"High")/COUNTA(Table1[Student_ID])</f>
        <v>0.5787234042553191</v>
      </c>
      <c r="T436">
        <f>AVERAGE(Table1[Academic Impact Flag])</f>
        <v>0.64255319148936174</v>
      </c>
      <c r="U436">
        <f>AVERAGE(Table1[Sleep_Hours_Per_Night])</f>
        <v>6.868936170212768</v>
      </c>
      <c r="V436">
        <f>AVERAGE(Table1[Mental_Health_Score])</f>
        <v>6.2269503546099294</v>
      </c>
    </row>
    <row r="437" spans="1:22" x14ac:dyDescent="0.3">
      <c r="A437">
        <v>436</v>
      </c>
      <c r="B437">
        <v>22</v>
      </c>
      <c r="C437" t="s">
        <v>18</v>
      </c>
      <c r="D437" t="s">
        <v>19</v>
      </c>
      <c r="E437" t="s">
        <v>64</v>
      </c>
      <c r="F437">
        <v>4.4000000000000004</v>
      </c>
      <c r="G437" t="s">
        <v>25</v>
      </c>
      <c r="H437" t="s">
        <v>16</v>
      </c>
      <c r="I437">
        <v>7.8</v>
      </c>
      <c r="J437">
        <v>6</v>
      </c>
      <c r="K437" t="s">
        <v>23</v>
      </c>
      <c r="L437">
        <v>7</v>
      </c>
      <c r="M437" t="str">
        <f>IF(Table1[[#This Row],[Age]]&lt;=18,"Teen",IF(Table1[[#This Row],[Age]]&lt;=21,"Young Adult","Adult"))</f>
        <v>Adult</v>
      </c>
      <c r="N437" t="str">
        <f t="shared" si="30"/>
        <v>High</v>
      </c>
      <c r="O437" t="str">
        <f t="shared" si="31"/>
        <v>High</v>
      </c>
      <c r="P437" t="str">
        <f t="shared" si="32"/>
        <v>Healthy</v>
      </c>
      <c r="Q437">
        <f t="shared" si="33"/>
        <v>1</v>
      </c>
      <c r="R437" t="str">
        <f t="shared" si="34"/>
        <v>Average</v>
      </c>
      <c r="S437">
        <f>COUNTIF('Students Social Media Addiction'!O:O,"High")/COUNTA(Table1[Student_ID])</f>
        <v>0.5787234042553191</v>
      </c>
      <c r="T437">
        <f>AVERAGE(Table1[Academic Impact Flag])</f>
        <v>0.64255319148936174</v>
      </c>
      <c r="U437">
        <f>AVERAGE(Table1[Sleep_Hours_Per_Night])</f>
        <v>6.868936170212768</v>
      </c>
      <c r="V437">
        <f>AVERAGE(Table1[Mental_Health_Score])</f>
        <v>6.2269503546099294</v>
      </c>
    </row>
    <row r="438" spans="1:22" x14ac:dyDescent="0.3">
      <c r="A438">
        <v>437</v>
      </c>
      <c r="B438">
        <v>19</v>
      </c>
      <c r="C438" t="s">
        <v>12</v>
      </c>
      <c r="D438" t="s">
        <v>13</v>
      </c>
      <c r="E438" t="s">
        <v>24</v>
      </c>
      <c r="F438">
        <v>7.9</v>
      </c>
      <c r="G438" t="s">
        <v>15</v>
      </c>
      <c r="H438" t="s">
        <v>16</v>
      </c>
      <c r="I438">
        <v>4.4000000000000004</v>
      </c>
      <c r="J438">
        <v>5</v>
      </c>
      <c r="K438" t="s">
        <v>17</v>
      </c>
      <c r="L438">
        <v>9</v>
      </c>
      <c r="M438" t="str">
        <f>IF(Table1[[#This Row],[Age]]&lt;=18,"Teen",IF(Table1[[#This Row],[Age]]&lt;=21,"Young Adult","Adult"))</f>
        <v>Young Adult</v>
      </c>
      <c r="N438" t="str">
        <f t="shared" si="30"/>
        <v>Very High</v>
      </c>
      <c r="O438" t="str">
        <f t="shared" si="31"/>
        <v>High</v>
      </c>
      <c r="P438" t="str">
        <f t="shared" si="32"/>
        <v>Poor</v>
      </c>
      <c r="Q438">
        <f t="shared" si="33"/>
        <v>1</v>
      </c>
      <c r="R438" t="str">
        <f t="shared" si="34"/>
        <v>Average</v>
      </c>
      <c r="S438">
        <f>COUNTIF('Students Social Media Addiction'!O:O,"High")/COUNTA(Table1[Student_ID])</f>
        <v>0.5787234042553191</v>
      </c>
      <c r="T438">
        <f>AVERAGE(Table1[Academic Impact Flag])</f>
        <v>0.64255319148936174</v>
      </c>
      <c r="U438">
        <f>AVERAGE(Table1[Sleep_Hours_Per_Night])</f>
        <v>6.868936170212768</v>
      </c>
      <c r="V438">
        <f>AVERAGE(Table1[Mental_Health_Score])</f>
        <v>6.2269503546099294</v>
      </c>
    </row>
    <row r="439" spans="1:22" x14ac:dyDescent="0.3">
      <c r="A439">
        <v>438</v>
      </c>
      <c r="B439">
        <v>21</v>
      </c>
      <c r="C439" t="s">
        <v>18</v>
      </c>
      <c r="D439" t="s">
        <v>19</v>
      </c>
      <c r="E439" t="s">
        <v>42</v>
      </c>
      <c r="F439">
        <v>6.7</v>
      </c>
      <c r="G439" t="s">
        <v>142</v>
      </c>
      <c r="H439" t="s">
        <v>16</v>
      </c>
      <c r="I439">
        <v>5.5</v>
      </c>
      <c r="J439">
        <v>6</v>
      </c>
      <c r="K439" t="s">
        <v>23</v>
      </c>
      <c r="L439">
        <v>7</v>
      </c>
      <c r="M439" t="str">
        <f>IF(Table1[[#This Row],[Age]]&lt;=18,"Teen",IF(Table1[[#This Row],[Age]]&lt;=21,"Young Adult","Adult"))</f>
        <v>Young Adult</v>
      </c>
      <c r="N439" t="str">
        <f t="shared" si="30"/>
        <v>Very High</v>
      </c>
      <c r="O439" t="str">
        <f t="shared" si="31"/>
        <v>High</v>
      </c>
      <c r="P439" t="str">
        <f t="shared" si="32"/>
        <v>Poor</v>
      </c>
      <c r="Q439">
        <f t="shared" si="33"/>
        <v>1</v>
      </c>
      <c r="R439" t="str">
        <f t="shared" si="34"/>
        <v>Average</v>
      </c>
      <c r="S439">
        <f>COUNTIF('Students Social Media Addiction'!O:O,"High")/COUNTA(Table1[Student_ID])</f>
        <v>0.5787234042553191</v>
      </c>
      <c r="T439">
        <f>AVERAGE(Table1[Academic Impact Flag])</f>
        <v>0.64255319148936174</v>
      </c>
      <c r="U439">
        <f>AVERAGE(Table1[Sleep_Hours_Per_Night])</f>
        <v>6.868936170212768</v>
      </c>
      <c r="V439">
        <f>AVERAGE(Table1[Mental_Health_Score])</f>
        <v>6.2269503546099294</v>
      </c>
    </row>
    <row r="440" spans="1:22" x14ac:dyDescent="0.3">
      <c r="A440">
        <v>439</v>
      </c>
      <c r="B440">
        <v>20</v>
      </c>
      <c r="C440" t="s">
        <v>12</v>
      </c>
      <c r="D440" t="s">
        <v>13</v>
      </c>
      <c r="E440" t="s">
        <v>39</v>
      </c>
      <c r="F440">
        <v>3.4</v>
      </c>
      <c r="G440" t="s">
        <v>15</v>
      </c>
      <c r="H440" t="s">
        <v>22</v>
      </c>
      <c r="I440">
        <v>8.6</v>
      </c>
      <c r="J440">
        <v>7</v>
      </c>
      <c r="K440" t="s">
        <v>17</v>
      </c>
      <c r="L440">
        <v>5</v>
      </c>
      <c r="M440" t="str">
        <f>IF(Table1[[#This Row],[Age]]&lt;=18,"Teen",IF(Table1[[#This Row],[Age]]&lt;=21,"Young Adult","Adult"))</f>
        <v>Young Adult</v>
      </c>
      <c r="N440" t="str">
        <f t="shared" si="30"/>
        <v>Moderate</v>
      </c>
      <c r="O440" t="str">
        <f t="shared" si="31"/>
        <v>Medium</v>
      </c>
      <c r="P440" t="str">
        <f t="shared" si="32"/>
        <v>Healthy</v>
      </c>
      <c r="Q440">
        <f t="shared" si="33"/>
        <v>0</v>
      </c>
      <c r="R440" t="str">
        <f t="shared" si="34"/>
        <v>Good</v>
      </c>
      <c r="S440">
        <f>COUNTIF('Students Social Media Addiction'!O:O,"High")/COUNTA(Table1[Student_ID])</f>
        <v>0.5787234042553191</v>
      </c>
      <c r="T440">
        <f>AVERAGE(Table1[Academic Impact Flag])</f>
        <v>0.64255319148936174</v>
      </c>
      <c r="U440">
        <f>AVERAGE(Table1[Sleep_Hours_Per_Night])</f>
        <v>6.868936170212768</v>
      </c>
      <c r="V440">
        <f>AVERAGE(Table1[Mental_Health_Score])</f>
        <v>6.2269503546099294</v>
      </c>
    </row>
    <row r="441" spans="1:22" x14ac:dyDescent="0.3">
      <c r="A441">
        <v>440</v>
      </c>
      <c r="B441">
        <v>22</v>
      </c>
      <c r="C441" t="s">
        <v>18</v>
      </c>
      <c r="D441" t="s">
        <v>19</v>
      </c>
      <c r="E441" t="s">
        <v>30</v>
      </c>
      <c r="F441">
        <v>4.2</v>
      </c>
      <c r="G441" t="s">
        <v>25</v>
      </c>
      <c r="H441" t="s">
        <v>16</v>
      </c>
      <c r="I441">
        <v>8</v>
      </c>
      <c r="J441">
        <v>6</v>
      </c>
      <c r="K441" t="s">
        <v>23</v>
      </c>
      <c r="L441">
        <v>7</v>
      </c>
      <c r="M441" t="str">
        <f>IF(Table1[[#This Row],[Age]]&lt;=18,"Teen",IF(Table1[[#This Row],[Age]]&lt;=21,"Young Adult","Adult"))</f>
        <v>Adult</v>
      </c>
      <c r="N441" t="str">
        <f t="shared" si="30"/>
        <v>High</v>
      </c>
      <c r="O441" t="str">
        <f t="shared" si="31"/>
        <v>High</v>
      </c>
      <c r="P441" t="str">
        <f t="shared" si="32"/>
        <v>Healthy</v>
      </c>
      <c r="Q441">
        <f t="shared" si="33"/>
        <v>1</v>
      </c>
      <c r="R441" t="str">
        <f t="shared" si="34"/>
        <v>Average</v>
      </c>
      <c r="S441">
        <f>COUNTIF('Students Social Media Addiction'!O:O,"High")/COUNTA(Table1[Student_ID])</f>
        <v>0.5787234042553191</v>
      </c>
      <c r="T441">
        <f>AVERAGE(Table1[Academic Impact Flag])</f>
        <v>0.64255319148936174</v>
      </c>
      <c r="U441">
        <f>AVERAGE(Table1[Sleep_Hours_Per_Night])</f>
        <v>6.868936170212768</v>
      </c>
      <c r="V441">
        <f>AVERAGE(Table1[Mental_Health_Score])</f>
        <v>6.2269503546099294</v>
      </c>
    </row>
    <row r="442" spans="1:22" x14ac:dyDescent="0.3">
      <c r="A442">
        <v>441</v>
      </c>
      <c r="B442">
        <v>19</v>
      </c>
      <c r="C442" t="s">
        <v>12</v>
      </c>
      <c r="D442" t="s">
        <v>13</v>
      </c>
      <c r="E442" t="s">
        <v>40</v>
      </c>
      <c r="F442">
        <v>4</v>
      </c>
      <c r="G442" t="s">
        <v>15</v>
      </c>
      <c r="H442" t="s">
        <v>16</v>
      </c>
      <c r="I442">
        <v>7.9</v>
      </c>
      <c r="J442">
        <v>6</v>
      </c>
      <c r="K442" t="s">
        <v>23</v>
      </c>
      <c r="L442">
        <v>7</v>
      </c>
      <c r="M442" t="str">
        <f>IF(Table1[[#This Row],[Age]]&lt;=18,"Teen",IF(Table1[[#This Row],[Age]]&lt;=21,"Young Adult","Adult"))</f>
        <v>Young Adult</v>
      </c>
      <c r="N442" t="str">
        <f t="shared" si="30"/>
        <v>High</v>
      </c>
      <c r="O442" t="str">
        <f t="shared" si="31"/>
        <v>High</v>
      </c>
      <c r="P442" t="str">
        <f t="shared" si="32"/>
        <v>Healthy</v>
      </c>
      <c r="Q442">
        <f t="shared" si="33"/>
        <v>1</v>
      </c>
      <c r="R442" t="str">
        <f t="shared" si="34"/>
        <v>Average</v>
      </c>
      <c r="S442">
        <f>COUNTIF('Students Social Media Addiction'!O:O,"High")/COUNTA(Table1[Student_ID])</f>
        <v>0.5787234042553191</v>
      </c>
      <c r="T442">
        <f>AVERAGE(Table1[Academic Impact Flag])</f>
        <v>0.64255319148936174</v>
      </c>
      <c r="U442">
        <f>AVERAGE(Table1[Sleep_Hours_Per_Night])</f>
        <v>6.868936170212768</v>
      </c>
      <c r="V442">
        <f>AVERAGE(Table1[Mental_Health_Score])</f>
        <v>6.2269503546099294</v>
      </c>
    </row>
    <row r="443" spans="1:22" x14ac:dyDescent="0.3">
      <c r="A443">
        <v>442</v>
      </c>
      <c r="B443">
        <v>21</v>
      </c>
      <c r="C443" t="s">
        <v>18</v>
      </c>
      <c r="D443" t="s">
        <v>19</v>
      </c>
      <c r="E443" t="s">
        <v>47</v>
      </c>
      <c r="F443">
        <v>2.8</v>
      </c>
      <c r="G443" t="s">
        <v>31</v>
      </c>
      <c r="H443" t="s">
        <v>22</v>
      </c>
      <c r="I443">
        <v>9</v>
      </c>
      <c r="J443">
        <v>8</v>
      </c>
      <c r="K443" t="s">
        <v>17</v>
      </c>
      <c r="L443">
        <v>4</v>
      </c>
      <c r="M443" t="str">
        <f>IF(Table1[[#This Row],[Age]]&lt;=18,"Teen",IF(Table1[[#This Row],[Age]]&lt;=21,"Young Adult","Adult"))</f>
        <v>Young Adult</v>
      </c>
      <c r="N443" t="str">
        <f t="shared" si="30"/>
        <v>Moderate</v>
      </c>
      <c r="O443" t="str">
        <f t="shared" si="31"/>
        <v>Medium</v>
      </c>
      <c r="P443" t="str">
        <f t="shared" si="32"/>
        <v>Healthy</v>
      </c>
      <c r="Q443">
        <f t="shared" si="33"/>
        <v>0</v>
      </c>
      <c r="R443" t="str">
        <f t="shared" si="34"/>
        <v>Good</v>
      </c>
      <c r="S443">
        <f>COUNTIF('Students Social Media Addiction'!O:O,"High")/COUNTA(Table1[Student_ID])</f>
        <v>0.5787234042553191</v>
      </c>
      <c r="T443">
        <f>AVERAGE(Table1[Academic Impact Flag])</f>
        <v>0.64255319148936174</v>
      </c>
      <c r="U443">
        <f>AVERAGE(Table1[Sleep_Hours_Per_Night])</f>
        <v>6.868936170212768</v>
      </c>
      <c r="V443">
        <f>AVERAGE(Table1[Mental_Health_Score])</f>
        <v>6.2269503546099294</v>
      </c>
    </row>
    <row r="444" spans="1:22" x14ac:dyDescent="0.3">
      <c r="A444">
        <v>443</v>
      </c>
      <c r="B444">
        <v>20</v>
      </c>
      <c r="C444" t="s">
        <v>12</v>
      </c>
      <c r="D444" t="s">
        <v>13</v>
      </c>
      <c r="E444" t="s">
        <v>54</v>
      </c>
      <c r="F444">
        <v>3.7</v>
      </c>
      <c r="G444" t="s">
        <v>25</v>
      </c>
      <c r="H444" t="s">
        <v>16</v>
      </c>
      <c r="I444">
        <v>8.1999999999999993</v>
      </c>
      <c r="J444">
        <v>7</v>
      </c>
      <c r="K444" t="s">
        <v>23</v>
      </c>
      <c r="L444">
        <v>6</v>
      </c>
      <c r="M444" t="str">
        <f>IF(Table1[[#This Row],[Age]]&lt;=18,"Teen",IF(Table1[[#This Row],[Age]]&lt;=21,"Young Adult","Adult"))</f>
        <v>Young Adult</v>
      </c>
      <c r="N444" t="str">
        <f t="shared" si="30"/>
        <v>Moderate</v>
      </c>
      <c r="O444" t="str">
        <f t="shared" si="31"/>
        <v>Medium</v>
      </c>
      <c r="P444" t="str">
        <f t="shared" si="32"/>
        <v>Healthy</v>
      </c>
      <c r="Q444">
        <f t="shared" si="33"/>
        <v>1</v>
      </c>
      <c r="R444" t="str">
        <f t="shared" si="34"/>
        <v>Good</v>
      </c>
      <c r="S444">
        <f>COUNTIF('Students Social Media Addiction'!O:O,"High")/COUNTA(Table1[Student_ID])</f>
        <v>0.5787234042553191</v>
      </c>
      <c r="T444">
        <f>AVERAGE(Table1[Academic Impact Flag])</f>
        <v>0.64255319148936174</v>
      </c>
      <c r="U444">
        <f>AVERAGE(Table1[Sleep_Hours_Per_Night])</f>
        <v>6.868936170212768</v>
      </c>
      <c r="V444">
        <f>AVERAGE(Table1[Mental_Health_Score])</f>
        <v>6.2269503546099294</v>
      </c>
    </row>
    <row r="445" spans="1:22" x14ac:dyDescent="0.3">
      <c r="A445">
        <v>444</v>
      </c>
      <c r="B445">
        <v>22</v>
      </c>
      <c r="C445" t="s">
        <v>18</v>
      </c>
      <c r="D445" t="s">
        <v>19</v>
      </c>
      <c r="E445" t="s">
        <v>20</v>
      </c>
      <c r="F445">
        <v>7</v>
      </c>
      <c r="G445" t="s">
        <v>142</v>
      </c>
      <c r="H445" t="s">
        <v>16</v>
      </c>
      <c r="I445">
        <v>5.3</v>
      </c>
      <c r="J445">
        <v>5</v>
      </c>
      <c r="K445" t="s">
        <v>17</v>
      </c>
      <c r="L445">
        <v>8</v>
      </c>
      <c r="M445" t="str">
        <f>IF(Table1[[#This Row],[Age]]&lt;=18,"Teen",IF(Table1[[#This Row],[Age]]&lt;=21,"Young Adult","Adult"))</f>
        <v>Adult</v>
      </c>
      <c r="N445" t="str">
        <f t="shared" si="30"/>
        <v>Very High</v>
      </c>
      <c r="O445" t="str">
        <f t="shared" si="31"/>
        <v>High</v>
      </c>
      <c r="P445" t="str">
        <f t="shared" si="32"/>
        <v>Poor</v>
      </c>
      <c r="Q445">
        <f t="shared" si="33"/>
        <v>1</v>
      </c>
      <c r="R445" t="str">
        <f t="shared" si="34"/>
        <v>Average</v>
      </c>
      <c r="S445">
        <f>COUNTIF('Students Social Media Addiction'!O:O,"High")/COUNTA(Table1[Student_ID])</f>
        <v>0.5787234042553191</v>
      </c>
      <c r="T445">
        <f>AVERAGE(Table1[Academic Impact Flag])</f>
        <v>0.64255319148936174</v>
      </c>
      <c r="U445">
        <f>AVERAGE(Table1[Sleep_Hours_Per_Night])</f>
        <v>6.868936170212768</v>
      </c>
      <c r="V445">
        <f>AVERAGE(Table1[Mental_Health_Score])</f>
        <v>6.2269503546099294</v>
      </c>
    </row>
    <row r="446" spans="1:22" x14ac:dyDescent="0.3">
      <c r="A446">
        <v>445</v>
      </c>
      <c r="B446">
        <v>19</v>
      </c>
      <c r="C446" t="s">
        <v>12</v>
      </c>
      <c r="D446" t="s">
        <v>13</v>
      </c>
      <c r="E446" t="s">
        <v>50</v>
      </c>
      <c r="F446">
        <v>2.7</v>
      </c>
      <c r="G446" t="s">
        <v>15</v>
      </c>
      <c r="H446" t="s">
        <v>22</v>
      </c>
      <c r="I446">
        <v>9.1</v>
      </c>
      <c r="J446">
        <v>8</v>
      </c>
      <c r="K446" t="s">
        <v>23</v>
      </c>
      <c r="L446">
        <v>4</v>
      </c>
      <c r="M446" t="str">
        <f>IF(Table1[[#This Row],[Age]]&lt;=18,"Teen",IF(Table1[[#This Row],[Age]]&lt;=21,"Young Adult","Adult"))</f>
        <v>Young Adult</v>
      </c>
      <c r="N446" t="str">
        <f t="shared" si="30"/>
        <v>Moderate</v>
      </c>
      <c r="O446" t="str">
        <f t="shared" si="31"/>
        <v>Medium</v>
      </c>
      <c r="P446" t="str">
        <f t="shared" si="32"/>
        <v>Healthy</v>
      </c>
      <c r="Q446">
        <f t="shared" si="33"/>
        <v>0</v>
      </c>
      <c r="R446" t="str">
        <f t="shared" si="34"/>
        <v>Good</v>
      </c>
      <c r="S446">
        <f>COUNTIF('Students Social Media Addiction'!O:O,"High")/COUNTA(Table1[Student_ID])</f>
        <v>0.5787234042553191</v>
      </c>
      <c r="T446">
        <f>AVERAGE(Table1[Academic Impact Flag])</f>
        <v>0.64255319148936174</v>
      </c>
      <c r="U446">
        <f>AVERAGE(Table1[Sleep_Hours_Per_Night])</f>
        <v>6.868936170212768</v>
      </c>
      <c r="V446">
        <f>AVERAGE(Table1[Mental_Health_Score])</f>
        <v>6.2269503546099294</v>
      </c>
    </row>
    <row r="447" spans="1:22" x14ac:dyDescent="0.3">
      <c r="A447">
        <v>446</v>
      </c>
      <c r="B447">
        <v>21</v>
      </c>
      <c r="C447" t="s">
        <v>18</v>
      </c>
      <c r="D447" t="s">
        <v>19</v>
      </c>
      <c r="E447" t="s">
        <v>64</v>
      </c>
      <c r="F447">
        <v>4.3</v>
      </c>
      <c r="G447" t="s">
        <v>15</v>
      </c>
      <c r="H447" t="s">
        <v>16</v>
      </c>
      <c r="I447">
        <v>7.9</v>
      </c>
      <c r="J447">
        <v>6</v>
      </c>
      <c r="K447" t="s">
        <v>23</v>
      </c>
      <c r="L447">
        <v>7</v>
      </c>
      <c r="M447" t="str">
        <f>IF(Table1[[#This Row],[Age]]&lt;=18,"Teen",IF(Table1[[#This Row],[Age]]&lt;=21,"Young Adult","Adult"))</f>
        <v>Young Adult</v>
      </c>
      <c r="N447" t="str">
        <f t="shared" si="30"/>
        <v>High</v>
      </c>
      <c r="O447" t="str">
        <f t="shared" si="31"/>
        <v>High</v>
      </c>
      <c r="P447" t="str">
        <f t="shared" si="32"/>
        <v>Healthy</v>
      </c>
      <c r="Q447">
        <f t="shared" si="33"/>
        <v>1</v>
      </c>
      <c r="R447" t="str">
        <f t="shared" si="34"/>
        <v>Average</v>
      </c>
      <c r="S447">
        <f>COUNTIF('Students Social Media Addiction'!O:O,"High")/COUNTA(Table1[Student_ID])</f>
        <v>0.5787234042553191</v>
      </c>
      <c r="T447">
        <f>AVERAGE(Table1[Academic Impact Flag])</f>
        <v>0.64255319148936174</v>
      </c>
      <c r="U447">
        <f>AVERAGE(Table1[Sleep_Hours_Per_Night])</f>
        <v>6.868936170212768</v>
      </c>
      <c r="V447">
        <f>AVERAGE(Table1[Mental_Health_Score])</f>
        <v>6.2269503546099294</v>
      </c>
    </row>
    <row r="448" spans="1:22" x14ac:dyDescent="0.3">
      <c r="A448">
        <v>447</v>
      </c>
      <c r="B448">
        <v>20</v>
      </c>
      <c r="C448" t="s">
        <v>12</v>
      </c>
      <c r="D448" t="s">
        <v>13</v>
      </c>
      <c r="E448" t="s">
        <v>24</v>
      </c>
      <c r="F448">
        <v>8</v>
      </c>
      <c r="G448" t="s">
        <v>25</v>
      </c>
      <c r="H448" t="s">
        <v>16</v>
      </c>
      <c r="I448">
        <v>4.3</v>
      </c>
      <c r="J448">
        <v>5</v>
      </c>
      <c r="K448" t="s">
        <v>17</v>
      </c>
      <c r="L448">
        <v>9</v>
      </c>
      <c r="M448" t="str">
        <f>IF(Table1[[#This Row],[Age]]&lt;=18,"Teen",IF(Table1[[#This Row],[Age]]&lt;=21,"Young Adult","Adult"))</f>
        <v>Young Adult</v>
      </c>
      <c r="N448" t="str">
        <f t="shared" si="30"/>
        <v>Very High</v>
      </c>
      <c r="O448" t="str">
        <f t="shared" si="31"/>
        <v>High</v>
      </c>
      <c r="P448" t="str">
        <f t="shared" si="32"/>
        <v>Poor</v>
      </c>
      <c r="Q448">
        <f t="shared" si="33"/>
        <v>1</v>
      </c>
      <c r="R448" t="str">
        <f t="shared" si="34"/>
        <v>Average</v>
      </c>
      <c r="S448">
        <f>COUNTIF('Students Social Media Addiction'!O:O,"High")/COUNTA(Table1[Student_ID])</f>
        <v>0.5787234042553191</v>
      </c>
      <c r="T448">
        <f>AVERAGE(Table1[Academic Impact Flag])</f>
        <v>0.64255319148936174</v>
      </c>
      <c r="U448">
        <f>AVERAGE(Table1[Sleep_Hours_Per_Night])</f>
        <v>6.868936170212768</v>
      </c>
      <c r="V448">
        <f>AVERAGE(Table1[Mental_Health_Score])</f>
        <v>6.2269503546099294</v>
      </c>
    </row>
    <row r="449" spans="1:22" x14ac:dyDescent="0.3">
      <c r="A449">
        <v>448</v>
      </c>
      <c r="B449">
        <v>22</v>
      </c>
      <c r="C449" t="s">
        <v>18</v>
      </c>
      <c r="D449" t="s">
        <v>19</v>
      </c>
      <c r="E449" t="s">
        <v>42</v>
      </c>
      <c r="F449">
        <v>6.8</v>
      </c>
      <c r="G449" t="s">
        <v>142</v>
      </c>
      <c r="H449" t="s">
        <v>16</v>
      </c>
      <c r="I449">
        <v>5.4</v>
      </c>
      <c r="J449">
        <v>6</v>
      </c>
      <c r="K449" t="s">
        <v>23</v>
      </c>
      <c r="L449">
        <v>7</v>
      </c>
      <c r="M449" t="str">
        <f>IF(Table1[[#This Row],[Age]]&lt;=18,"Teen",IF(Table1[[#This Row],[Age]]&lt;=21,"Young Adult","Adult"))</f>
        <v>Adult</v>
      </c>
      <c r="N449" t="str">
        <f t="shared" si="30"/>
        <v>Very High</v>
      </c>
      <c r="O449" t="str">
        <f t="shared" si="31"/>
        <v>High</v>
      </c>
      <c r="P449" t="str">
        <f t="shared" si="32"/>
        <v>Poor</v>
      </c>
      <c r="Q449">
        <f t="shared" si="33"/>
        <v>1</v>
      </c>
      <c r="R449" t="str">
        <f t="shared" si="34"/>
        <v>Average</v>
      </c>
      <c r="S449">
        <f>COUNTIF('Students Social Media Addiction'!O:O,"High")/COUNTA(Table1[Student_ID])</f>
        <v>0.5787234042553191</v>
      </c>
      <c r="T449">
        <f>AVERAGE(Table1[Academic Impact Flag])</f>
        <v>0.64255319148936174</v>
      </c>
      <c r="U449">
        <f>AVERAGE(Table1[Sleep_Hours_Per_Night])</f>
        <v>6.868936170212768</v>
      </c>
      <c r="V449">
        <f>AVERAGE(Table1[Mental_Health_Score])</f>
        <v>6.2269503546099294</v>
      </c>
    </row>
    <row r="450" spans="1:22" x14ac:dyDescent="0.3">
      <c r="A450">
        <v>449</v>
      </c>
      <c r="B450">
        <v>19</v>
      </c>
      <c r="C450" t="s">
        <v>12</v>
      </c>
      <c r="D450" t="s">
        <v>13</v>
      </c>
      <c r="E450" t="s">
        <v>39</v>
      </c>
      <c r="F450">
        <v>3.3</v>
      </c>
      <c r="G450" t="s">
        <v>15</v>
      </c>
      <c r="H450" t="s">
        <v>22</v>
      </c>
      <c r="I450">
        <v>8.6999999999999993</v>
      </c>
      <c r="J450">
        <v>7</v>
      </c>
      <c r="K450" t="s">
        <v>17</v>
      </c>
      <c r="L450">
        <v>5</v>
      </c>
      <c r="M450" t="str">
        <f>IF(Table1[[#This Row],[Age]]&lt;=18,"Teen",IF(Table1[[#This Row],[Age]]&lt;=21,"Young Adult","Adult"))</f>
        <v>Young Adult</v>
      </c>
      <c r="N450" t="str">
        <f t="shared" ref="N450:N513" si="35">IF(F450&lt;2,"Low",
IF(F450&lt;4,"Moderate",
IF(F450&lt;6,"High","Very High")))</f>
        <v>Moderate</v>
      </c>
      <c r="O450" t="str">
        <f t="shared" ref="O450:O513" si="36">IF(L450&lt;=3,"Low",
IF(L450&lt;=6,"Medium","High"))</f>
        <v>Medium</v>
      </c>
      <c r="P450" t="str">
        <f t="shared" ref="P450:P513" si="37">IF(I450&lt;6,"Poor",
IF(I450&lt;=7,"Average","Healthy"))</f>
        <v>Healthy</v>
      </c>
      <c r="Q450">
        <f t="shared" ref="Q450:Q513" si="38">IF(H450="Yes",1,0)</f>
        <v>0</v>
      </c>
      <c r="R450" t="str">
        <f t="shared" ref="R450:R513" si="39">IF(J450&lt;=4,"Poor",
IF(J450&lt;=6,"Average","Good"))</f>
        <v>Good</v>
      </c>
      <c r="S450">
        <f>COUNTIF('Students Social Media Addiction'!O:O,"High")/COUNTA(Table1[Student_ID])</f>
        <v>0.5787234042553191</v>
      </c>
      <c r="T450">
        <f>AVERAGE(Table1[Academic Impact Flag])</f>
        <v>0.64255319148936174</v>
      </c>
      <c r="U450">
        <f>AVERAGE(Table1[Sleep_Hours_Per_Night])</f>
        <v>6.868936170212768</v>
      </c>
      <c r="V450">
        <f>AVERAGE(Table1[Mental_Health_Score])</f>
        <v>6.2269503546099294</v>
      </c>
    </row>
    <row r="451" spans="1:22" x14ac:dyDescent="0.3">
      <c r="A451">
        <v>450</v>
      </c>
      <c r="B451">
        <v>21</v>
      </c>
      <c r="C451" t="s">
        <v>18</v>
      </c>
      <c r="D451" t="s">
        <v>19</v>
      </c>
      <c r="E451" t="s">
        <v>30</v>
      </c>
      <c r="F451">
        <v>4.0999999999999996</v>
      </c>
      <c r="G451" t="s">
        <v>15</v>
      </c>
      <c r="H451" t="s">
        <v>16</v>
      </c>
      <c r="I451">
        <v>8.1</v>
      </c>
      <c r="J451">
        <v>6</v>
      </c>
      <c r="K451" t="s">
        <v>23</v>
      </c>
      <c r="L451">
        <v>7</v>
      </c>
      <c r="M451" t="str">
        <f>IF(Table1[[#This Row],[Age]]&lt;=18,"Teen",IF(Table1[[#This Row],[Age]]&lt;=21,"Young Adult","Adult"))</f>
        <v>Young Adult</v>
      </c>
      <c r="N451" t="str">
        <f t="shared" si="35"/>
        <v>High</v>
      </c>
      <c r="O451" t="str">
        <f t="shared" si="36"/>
        <v>High</v>
      </c>
      <c r="P451" t="str">
        <f t="shared" si="37"/>
        <v>Healthy</v>
      </c>
      <c r="Q451">
        <f t="shared" si="38"/>
        <v>1</v>
      </c>
      <c r="R451" t="str">
        <f t="shared" si="39"/>
        <v>Average</v>
      </c>
      <c r="S451">
        <f>COUNTIF('Students Social Media Addiction'!O:O,"High")/COUNTA(Table1[Student_ID])</f>
        <v>0.5787234042553191</v>
      </c>
      <c r="T451">
        <f>AVERAGE(Table1[Academic Impact Flag])</f>
        <v>0.64255319148936174</v>
      </c>
      <c r="U451">
        <f>AVERAGE(Table1[Sleep_Hours_Per_Night])</f>
        <v>6.868936170212768</v>
      </c>
      <c r="V451">
        <f>AVERAGE(Table1[Mental_Health_Score])</f>
        <v>6.2269503546099294</v>
      </c>
    </row>
    <row r="452" spans="1:22" x14ac:dyDescent="0.3">
      <c r="A452">
        <v>451</v>
      </c>
      <c r="B452">
        <v>20</v>
      </c>
      <c r="C452" t="s">
        <v>12</v>
      </c>
      <c r="D452" t="s">
        <v>13</v>
      </c>
      <c r="E452" t="s">
        <v>40</v>
      </c>
      <c r="F452">
        <v>3.9</v>
      </c>
      <c r="G452" t="s">
        <v>25</v>
      </c>
      <c r="H452" t="s">
        <v>16</v>
      </c>
      <c r="I452">
        <v>8</v>
      </c>
      <c r="J452">
        <v>6</v>
      </c>
      <c r="K452" t="s">
        <v>23</v>
      </c>
      <c r="L452">
        <v>7</v>
      </c>
      <c r="M452" t="str">
        <f>IF(Table1[[#This Row],[Age]]&lt;=18,"Teen",IF(Table1[[#This Row],[Age]]&lt;=21,"Young Adult","Adult"))</f>
        <v>Young Adult</v>
      </c>
      <c r="N452" t="str">
        <f t="shared" si="35"/>
        <v>Moderate</v>
      </c>
      <c r="O452" t="str">
        <f t="shared" si="36"/>
        <v>High</v>
      </c>
      <c r="P452" t="str">
        <f t="shared" si="37"/>
        <v>Healthy</v>
      </c>
      <c r="Q452">
        <f t="shared" si="38"/>
        <v>1</v>
      </c>
      <c r="R452" t="str">
        <f t="shared" si="39"/>
        <v>Average</v>
      </c>
      <c r="S452">
        <f>COUNTIF('Students Social Media Addiction'!O:O,"High")/COUNTA(Table1[Student_ID])</f>
        <v>0.5787234042553191</v>
      </c>
      <c r="T452">
        <f>AVERAGE(Table1[Academic Impact Flag])</f>
        <v>0.64255319148936174</v>
      </c>
      <c r="U452">
        <f>AVERAGE(Table1[Sleep_Hours_Per_Night])</f>
        <v>6.868936170212768</v>
      </c>
      <c r="V452">
        <f>AVERAGE(Table1[Mental_Health_Score])</f>
        <v>6.2269503546099294</v>
      </c>
    </row>
    <row r="453" spans="1:22" x14ac:dyDescent="0.3">
      <c r="A453">
        <v>452</v>
      </c>
      <c r="B453">
        <v>22</v>
      </c>
      <c r="C453" t="s">
        <v>18</v>
      </c>
      <c r="D453" t="s">
        <v>19</v>
      </c>
      <c r="E453" t="s">
        <v>47</v>
      </c>
      <c r="F453">
        <v>2.7</v>
      </c>
      <c r="G453" t="s">
        <v>31</v>
      </c>
      <c r="H453" t="s">
        <v>22</v>
      </c>
      <c r="I453">
        <v>9.1</v>
      </c>
      <c r="J453">
        <v>8</v>
      </c>
      <c r="K453" t="s">
        <v>17</v>
      </c>
      <c r="L453">
        <v>4</v>
      </c>
      <c r="M453" t="str">
        <f>IF(Table1[[#This Row],[Age]]&lt;=18,"Teen",IF(Table1[[#This Row],[Age]]&lt;=21,"Young Adult","Adult"))</f>
        <v>Adult</v>
      </c>
      <c r="N453" t="str">
        <f t="shared" si="35"/>
        <v>Moderate</v>
      </c>
      <c r="O453" t="str">
        <f t="shared" si="36"/>
        <v>Medium</v>
      </c>
      <c r="P453" t="str">
        <f t="shared" si="37"/>
        <v>Healthy</v>
      </c>
      <c r="Q453">
        <f t="shared" si="38"/>
        <v>0</v>
      </c>
      <c r="R453" t="str">
        <f t="shared" si="39"/>
        <v>Good</v>
      </c>
      <c r="S453">
        <f>COUNTIF('Students Social Media Addiction'!O:O,"High")/COUNTA(Table1[Student_ID])</f>
        <v>0.5787234042553191</v>
      </c>
      <c r="T453">
        <f>AVERAGE(Table1[Academic Impact Flag])</f>
        <v>0.64255319148936174</v>
      </c>
      <c r="U453">
        <f>AVERAGE(Table1[Sleep_Hours_Per_Night])</f>
        <v>6.868936170212768</v>
      </c>
      <c r="V453">
        <f>AVERAGE(Table1[Mental_Health_Score])</f>
        <v>6.2269503546099294</v>
      </c>
    </row>
    <row r="454" spans="1:22" x14ac:dyDescent="0.3">
      <c r="A454">
        <v>453</v>
      </c>
      <c r="B454">
        <v>19</v>
      </c>
      <c r="C454" t="s">
        <v>12</v>
      </c>
      <c r="D454" t="s">
        <v>13</v>
      </c>
      <c r="E454" t="s">
        <v>54</v>
      </c>
      <c r="F454">
        <v>3.6</v>
      </c>
      <c r="G454" t="s">
        <v>15</v>
      </c>
      <c r="H454" t="s">
        <v>16</v>
      </c>
      <c r="I454">
        <v>8.3000000000000007</v>
      </c>
      <c r="J454">
        <v>7</v>
      </c>
      <c r="K454" t="s">
        <v>23</v>
      </c>
      <c r="L454">
        <v>6</v>
      </c>
      <c r="M454" t="str">
        <f>IF(Table1[[#This Row],[Age]]&lt;=18,"Teen",IF(Table1[[#This Row],[Age]]&lt;=21,"Young Adult","Adult"))</f>
        <v>Young Adult</v>
      </c>
      <c r="N454" t="str">
        <f t="shared" si="35"/>
        <v>Moderate</v>
      </c>
      <c r="O454" t="str">
        <f t="shared" si="36"/>
        <v>Medium</v>
      </c>
      <c r="P454" t="str">
        <f t="shared" si="37"/>
        <v>Healthy</v>
      </c>
      <c r="Q454">
        <f t="shared" si="38"/>
        <v>1</v>
      </c>
      <c r="R454" t="str">
        <f t="shared" si="39"/>
        <v>Good</v>
      </c>
      <c r="S454">
        <f>COUNTIF('Students Social Media Addiction'!O:O,"High")/COUNTA(Table1[Student_ID])</f>
        <v>0.5787234042553191</v>
      </c>
      <c r="T454">
        <f>AVERAGE(Table1[Academic Impact Flag])</f>
        <v>0.64255319148936174</v>
      </c>
      <c r="U454">
        <f>AVERAGE(Table1[Sleep_Hours_Per_Night])</f>
        <v>6.868936170212768</v>
      </c>
      <c r="V454">
        <f>AVERAGE(Table1[Mental_Health_Score])</f>
        <v>6.2269503546099294</v>
      </c>
    </row>
    <row r="455" spans="1:22" x14ac:dyDescent="0.3">
      <c r="A455">
        <v>454</v>
      </c>
      <c r="B455">
        <v>21</v>
      </c>
      <c r="C455" t="s">
        <v>18</v>
      </c>
      <c r="D455" t="s">
        <v>19</v>
      </c>
      <c r="E455" t="s">
        <v>20</v>
      </c>
      <c r="F455">
        <v>7.1</v>
      </c>
      <c r="G455" t="s">
        <v>142</v>
      </c>
      <c r="H455" t="s">
        <v>16</v>
      </c>
      <c r="I455">
        <v>5.2</v>
      </c>
      <c r="J455">
        <v>5</v>
      </c>
      <c r="K455" t="s">
        <v>17</v>
      </c>
      <c r="L455">
        <v>8</v>
      </c>
      <c r="M455" t="str">
        <f>IF(Table1[[#This Row],[Age]]&lt;=18,"Teen",IF(Table1[[#This Row],[Age]]&lt;=21,"Young Adult","Adult"))</f>
        <v>Young Adult</v>
      </c>
      <c r="N455" t="str">
        <f t="shared" si="35"/>
        <v>Very High</v>
      </c>
      <c r="O455" t="str">
        <f t="shared" si="36"/>
        <v>High</v>
      </c>
      <c r="P455" t="str">
        <f t="shared" si="37"/>
        <v>Poor</v>
      </c>
      <c r="Q455">
        <f t="shared" si="38"/>
        <v>1</v>
      </c>
      <c r="R455" t="str">
        <f t="shared" si="39"/>
        <v>Average</v>
      </c>
      <c r="S455">
        <f>COUNTIF('Students Social Media Addiction'!O:O,"High")/COUNTA(Table1[Student_ID])</f>
        <v>0.5787234042553191</v>
      </c>
      <c r="T455">
        <f>AVERAGE(Table1[Academic Impact Flag])</f>
        <v>0.64255319148936174</v>
      </c>
      <c r="U455">
        <f>AVERAGE(Table1[Sleep_Hours_Per_Night])</f>
        <v>6.868936170212768</v>
      </c>
      <c r="V455">
        <f>AVERAGE(Table1[Mental_Health_Score])</f>
        <v>6.2269503546099294</v>
      </c>
    </row>
    <row r="456" spans="1:22" x14ac:dyDescent="0.3">
      <c r="A456">
        <v>455</v>
      </c>
      <c r="B456">
        <v>20</v>
      </c>
      <c r="C456" t="s">
        <v>12</v>
      </c>
      <c r="D456" t="s">
        <v>13</v>
      </c>
      <c r="E456" t="s">
        <v>50</v>
      </c>
      <c r="F456">
        <v>2.6</v>
      </c>
      <c r="G456" t="s">
        <v>15</v>
      </c>
      <c r="H456" t="s">
        <v>22</v>
      </c>
      <c r="I456">
        <v>9.1999999999999993</v>
      </c>
      <c r="J456">
        <v>8</v>
      </c>
      <c r="K456" t="s">
        <v>23</v>
      </c>
      <c r="L456">
        <v>4</v>
      </c>
      <c r="M456" t="str">
        <f>IF(Table1[[#This Row],[Age]]&lt;=18,"Teen",IF(Table1[[#This Row],[Age]]&lt;=21,"Young Adult","Adult"))</f>
        <v>Young Adult</v>
      </c>
      <c r="N456" t="str">
        <f t="shared" si="35"/>
        <v>Moderate</v>
      </c>
      <c r="O456" t="str">
        <f t="shared" si="36"/>
        <v>Medium</v>
      </c>
      <c r="P456" t="str">
        <f t="shared" si="37"/>
        <v>Healthy</v>
      </c>
      <c r="Q456">
        <f t="shared" si="38"/>
        <v>0</v>
      </c>
      <c r="R456" t="str">
        <f t="shared" si="39"/>
        <v>Good</v>
      </c>
      <c r="S456">
        <f>COUNTIF('Students Social Media Addiction'!O:O,"High")/COUNTA(Table1[Student_ID])</f>
        <v>0.5787234042553191</v>
      </c>
      <c r="T456">
        <f>AVERAGE(Table1[Academic Impact Flag])</f>
        <v>0.64255319148936174</v>
      </c>
      <c r="U456">
        <f>AVERAGE(Table1[Sleep_Hours_Per_Night])</f>
        <v>6.868936170212768</v>
      </c>
      <c r="V456">
        <f>AVERAGE(Table1[Mental_Health_Score])</f>
        <v>6.2269503546099294</v>
      </c>
    </row>
    <row r="457" spans="1:22" x14ac:dyDescent="0.3">
      <c r="A457">
        <v>456</v>
      </c>
      <c r="B457">
        <v>22</v>
      </c>
      <c r="C457" t="s">
        <v>18</v>
      </c>
      <c r="D457" t="s">
        <v>19</v>
      </c>
      <c r="E457" t="s">
        <v>64</v>
      </c>
      <c r="F457">
        <v>4.2</v>
      </c>
      <c r="G457" t="s">
        <v>25</v>
      </c>
      <c r="H457" t="s">
        <v>16</v>
      </c>
      <c r="I457">
        <v>8</v>
      </c>
      <c r="J457">
        <v>6</v>
      </c>
      <c r="K457" t="s">
        <v>23</v>
      </c>
      <c r="L457">
        <v>7</v>
      </c>
      <c r="M457" t="str">
        <f>IF(Table1[[#This Row],[Age]]&lt;=18,"Teen",IF(Table1[[#This Row],[Age]]&lt;=21,"Young Adult","Adult"))</f>
        <v>Adult</v>
      </c>
      <c r="N457" t="str">
        <f t="shared" si="35"/>
        <v>High</v>
      </c>
      <c r="O457" t="str">
        <f t="shared" si="36"/>
        <v>High</v>
      </c>
      <c r="P457" t="str">
        <f t="shared" si="37"/>
        <v>Healthy</v>
      </c>
      <c r="Q457">
        <f t="shared" si="38"/>
        <v>1</v>
      </c>
      <c r="R457" t="str">
        <f t="shared" si="39"/>
        <v>Average</v>
      </c>
      <c r="S457">
        <f>COUNTIF('Students Social Media Addiction'!O:O,"High")/COUNTA(Table1[Student_ID])</f>
        <v>0.5787234042553191</v>
      </c>
      <c r="T457">
        <f>AVERAGE(Table1[Academic Impact Flag])</f>
        <v>0.64255319148936174</v>
      </c>
      <c r="U457">
        <f>AVERAGE(Table1[Sleep_Hours_Per_Night])</f>
        <v>6.868936170212768</v>
      </c>
      <c r="V457">
        <f>AVERAGE(Table1[Mental_Health_Score])</f>
        <v>6.2269503546099294</v>
      </c>
    </row>
    <row r="458" spans="1:22" x14ac:dyDescent="0.3">
      <c r="A458">
        <v>457</v>
      </c>
      <c r="B458">
        <v>19</v>
      </c>
      <c r="C458" t="s">
        <v>12</v>
      </c>
      <c r="D458" t="s">
        <v>13</v>
      </c>
      <c r="E458" t="s">
        <v>24</v>
      </c>
      <c r="F458">
        <v>8.1</v>
      </c>
      <c r="G458" t="s">
        <v>15</v>
      </c>
      <c r="H458" t="s">
        <v>16</v>
      </c>
      <c r="I458">
        <v>4.2</v>
      </c>
      <c r="J458">
        <v>5</v>
      </c>
      <c r="K458" t="s">
        <v>17</v>
      </c>
      <c r="L458">
        <v>9</v>
      </c>
      <c r="M458" t="str">
        <f>IF(Table1[[#This Row],[Age]]&lt;=18,"Teen",IF(Table1[[#This Row],[Age]]&lt;=21,"Young Adult","Adult"))</f>
        <v>Young Adult</v>
      </c>
      <c r="N458" t="str">
        <f t="shared" si="35"/>
        <v>Very High</v>
      </c>
      <c r="O458" t="str">
        <f t="shared" si="36"/>
        <v>High</v>
      </c>
      <c r="P458" t="str">
        <f t="shared" si="37"/>
        <v>Poor</v>
      </c>
      <c r="Q458">
        <f t="shared" si="38"/>
        <v>1</v>
      </c>
      <c r="R458" t="str">
        <f t="shared" si="39"/>
        <v>Average</v>
      </c>
      <c r="S458">
        <f>COUNTIF('Students Social Media Addiction'!O:O,"High")/COUNTA(Table1[Student_ID])</f>
        <v>0.5787234042553191</v>
      </c>
      <c r="T458">
        <f>AVERAGE(Table1[Academic Impact Flag])</f>
        <v>0.64255319148936174</v>
      </c>
      <c r="U458">
        <f>AVERAGE(Table1[Sleep_Hours_Per_Night])</f>
        <v>6.868936170212768</v>
      </c>
      <c r="V458">
        <f>AVERAGE(Table1[Mental_Health_Score])</f>
        <v>6.2269503546099294</v>
      </c>
    </row>
    <row r="459" spans="1:22" x14ac:dyDescent="0.3">
      <c r="A459">
        <v>458</v>
      </c>
      <c r="B459">
        <v>21</v>
      </c>
      <c r="C459" t="s">
        <v>18</v>
      </c>
      <c r="D459" t="s">
        <v>19</v>
      </c>
      <c r="E459" t="s">
        <v>42</v>
      </c>
      <c r="F459">
        <v>6.9</v>
      </c>
      <c r="G459" t="s">
        <v>142</v>
      </c>
      <c r="H459" t="s">
        <v>16</v>
      </c>
      <c r="I459">
        <v>5.3</v>
      </c>
      <c r="J459">
        <v>6</v>
      </c>
      <c r="K459" t="s">
        <v>23</v>
      </c>
      <c r="L459">
        <v>7</v>
      </c>
      <c r="M459" t="str">
        <f>IF(Table1[[#This Row],[Age]]&lt;=18,"Teen",IF(Table1[[#This Row],[Age]]&lt;=21,"Young Adult","Adult"))</f>
        <v>Young Adult</v>
      </c>
      <c r="N459" t="str">
        <f t="shared" si="35"/>
        <v>Very High</v>
      </c>
      <c r="O459" t="str">
        <f t="shared" si="36"/>
        <v>High</v>
      </c>
      <c r="P459" t="str">
        <f t="shared" si="37"/>
        <v>Poor</v>
      </c>
      <c r="Q459">
        <f t="shared" si="38"/>
        <v>1</v>
      </c>
      <c r="R459" t="str">
        <f t="shared" si="39"/>
        <v>Average</v>
      </c>
      <c r="S459">
        <f>COUNTIF('Students Social Media Addiction'!O:O,"High")/COUNTA(Table1[Student_ID])</f>
        <v>0.5787234042553191</v>
      </c>
      <c r="T459">
        <f>AVERAGE(Table1[Academic Impact Flag])</f>
        <v>0.64255319148936174</v>
      </c>
      <c r="U459">
        <f>AVERAGE(Table1[Sleep_Hours_Per_Night])</f>
        <v>6.868936170212768</v>
      </c>
      <c r="V459">
        <f>AVERAGE(Table1[Mental_Health_Score])</f>
        <v>6.2269503546099294</v>
      </c>
    </row>
    <row r="460" spans="1:22" x14ac:dyDescent="0.3">
      <c r="A460">
        <v>459</v>
      </c>
      <c r="B460">
        <v>20</v>
      </c>
      <c r="C460" t="s">
        <v>12</v>
      </c>
      <c r="D460" t="s">
        <v>13</v>
      </c>
      <c r="E460" t="s">
        <v>39</v>
      </c>
      <c r="F460">
        <v>3.2</v>
      </c>
      <c r="G460" t="s">
        <v>15</v>
      </c>
      <c r="H460" t="s">
        <v>22</v>
      </c>
      <c r="I460">
        <v>8.8000000000000007</v>
      </c>
      <c r="J460">
        <v>7</v>
      </c>
      <c r="K460" t="s">
        <v>17</v>
      </c>
      <c r="L460">
        <v>5</v>
      </c>
      <c r="M460" t="str">
        <f>IF(Table1[[#This Row],[Age]]&lt;=18,"Teen",IF(Table1[[#This Row],[Age]]&lt;=21,"Young Adult","Adult"))</f>
        <v>Young Adult</v>
      </c>
      <c r="N460" t="str">
        <f t="shared" si="35"/>
        <v>Moderate</v>
      </c>
      <c r="O460" t="str">
        <f t="shared" si="36"/>
        <v>Medium</v>
      </c>
      <c r="P460" t="str">
        <f t="shared" si="37"/>
        <v>Healthy</v>
      </c>
      <c r="Q460">
        <f t="shared" si="38"/>
        <v>0</v>
      </c>
      <c r="R460" t="str">
        <f t="shared" si="39"/>
        <v>Good</v>
      </c>
      <c r="S460">
        <f>COUNTIF('Students Social Media Addiction'!O:O,"High")/COUNTA(Table1[Student_ID])</f>
        <v>0.5787234042553191</v>
      </c>
      <c r="T460">
        <f>AVERAGE(Table1[Academic Impact Flag])</f>
        <v>0.64255319148936174</v>
      </c>
      <c r="U460">
        <f>AVERAGE(Table1[Sleep_Hours_Per_Night])</f>
        <v>6.868936170212768</v>
      </c>
      <c r="V460">
        <f>AVERAGE(Table1[Mental_Health_Score])</f>
        <v>6.2269503546099294</v>
      </c>
    </row>
    <row r="461" spans="1:22" x14ac:dyDescent="0.3">
      <c r="A461">
        <v>460</v>
      </c>
      <c r="B461">
        <v>22</v>
      </c>
      <c r="C461" t="s">
        <v>18</v>
      </c>
      <c r="D461" t="s">
        <v>19</v>
      </c>
      <c r="E461" t="s">
        <v>30</v>
      </c>
      <c r="F461">
        <v>4</v>
      </c>
      <c r="G461" t="s">
        <v>25</v>
      </c>
      <c r="H461" t="s">
        <v>16</v>
      </c>
      <c r="I461">
        <v>8.1999999999999993</v>
      </c>
      <c r="J461">
        <v>6</v>
      </c>
      <c r="K461" t="s">
        <v>23</v>
      </c>
      <c r="L461">
        <v>7</v>
      </c>
      <c r="M461" t="str">
        <f>IF(Table1[[#This Row],[Age]]&lt;=18,"Teen",IF(Table1[[#This Row],[Age]]&lt;=21,"Young Adult","Adult"))</f>
        <v>Adult</v>
      </c>
      <c r="N461" t="str">
        <f t="shared" si="35"/>
        <v>High</v>
      </c>
      <c r="O461" t="str">
        <f t="shared" si="36"/>
        <v>High</v>
      </c>
      <c r="P461" t="str">
        <f t="shared" si="37"/>
        <v>Healthy</v>
      </c>
      <c r="Q461">
        <f t="shared" si="38"/>
        <v>1</v>
      </c>
      <c r="R461" t="str">
        <f t="shared" si="39"/>
        <v>Average</v>
      </c>
      <c r="S461">
        <f>COUNTIF('Students Social Media Addiction'!O:O,"High")/COUNTA(Table1[Student_ID])</f>
        <v>0.5787234042553191</v>
      </c>
      <c r="T461">
        <f>AVERAGE(Table1[Academic Impact Flag])</f>
        <v>0.64255319148936174</v>
      </c>
      <c r="U461">
        <f>AVERAGE(Table1[Sleep_Hours_Per_Night])</f>
        <v>6.868936170212768</v>
      </c>
      <c r="V461">
        <f>AVERAGE(Table1[Mental_Health_Score])</f>
        <v>6.2269503546099294</v>
      </c>
    </row>
    <row r="462" spans="1:22" x14ac:dyDescent="0.3">
      <c r="A462">
        <v>461</v>
      </c>
      <c r="B462">
        <v>19</v>
      </c>
      <c r="C462" t="s">
        <v>12</v>
      </c>
      <c r="D462" t="s">
        <v>13</v>
      </c>
      <c r="E462" t="s">
        <v>40</v>
      </c>
      <c r="F462">
        <v>3.8</v>
      </c>
      <c r="G462" t="s">
        <v>15</v>
      </c>
      <c r="H462" t="s">
        <v>16</v>
      </c>
      <c r="I462">
        <v>8.1</v>
      </c>
      <c r="J462">
        <v>6</v>
      </c>
      <c r="K462" t="s">
        <v>23</v>
      </c>
      <c r="L462">
        <v>7</v>
      </c>
      <c r="M462" t="str">
        <f>IF(Table1[[#This Row],[Age]]&lt;=18,"Teen",IF(Table1[[#This Row],[Age]]&lt;=21,"Young Adult","Adult"))</f>
        <v>Young Adult</v>
      </c>
      <c r="N462" t="str">
        <f t="shared" si="35"/>
        <v>Moderate</v>
      </c>
      <c r="O462" t="str">
        <f t="shared" si="36"/>
        <v>High</v>
      </c>
      <c r="P462" t="str">
        <f t="shared" si="37"/>
        <v>Healthy</v>
      </c>
      <c r="Q462">
        <f t="shared" si="38"/>
        <v>1</v>
      </c>
      <c r="R462" t="str">
        <f t="shared" si="39"/>
        <v>Average</v>
      </c>
      <c r="S462">
        <f>COUNTIF('Students Social Media Addiction'!O:O,"High")/COUNTA(Table1[Student_ID])</f>
        <v>0.5787234042553191</v>
      </c>
      <c r="T462">
        <f>AVERAGE(Table1[Academic Impact Flag])</f>
        <v>0.64255319148936174</v>
      </c>
      <c r="U462">
        <f>AVERAGE(Table1[Sleep_Hours_Per_Night])</f>
        <v>6.868936170212768</v>
      </c>
      <c r="V462">
        <f>AVERAGE(Table1[Mental_Health_Score])</f>
        <v>6.2269503546099294</v>
      </c>
    </row>
    <row r="463" spans="1:22" x14ac:dyDescent="0.3">
      <c r="A463">
        <v>462</v>
      </c>
      <c r="B463">
        <v>21</v>
      </c>
      <c r="C463" t="s">
        <v>18</v>
      </c>
      <c r="D463" t="s">
        <v>19</v>
      </c>
      <c r="E463" t="s">
        <v>47</v>
      </c>
      <c r="F463">
        <v>2.6</v>
      </c>
      <c r="G463" t="s">
        <v>31</v>
      </c>
      <c r="H463" t="s">
        <v>22</v>
      </c>
      <c r="I463">
        <v>9.1999999999999993</v>
      </c>
      <c r="J463">
        <v>8</v>
      </c>
      <c r="K463" t="s">
        <v>17</v>
      </c>
      <c r="L463">
        <v>4</v>
      </c>
      <c r="M463" t="str">
        <f>IF(Table1[[#This Row],[Age]]&lt;=18,"Teen",IF(Table1[[#This Row],[Age]]&lt;=21,"Young Adult","Adult"))</f>
        <v>Young Adult</v>
      </c>
      <c r="N463" t="str">
        <f t="shared" si="35"/>
        <v>Moderate</v>
      </c>
      <c r="O463" t="str">
        <f t="shared" si="36"/>
        <v>Medium</v>
      </c>
      <c r="P463" t="str">
        <f t="shared" si="37"/>
        <v>Healthy</v>
      </c>
      <c r="Q463">
        <f t="shared" si="38"/>
        <v>0</v>
      </c>
      <c r="R463" t="str">
        <f t="shared" si="39"/>
        <v>Good</v>
      </c>
      <c r="S463">
        <f>COUNTIF('Students Social Media Addiction'!O:O,"High")/COUNTA(Table1[Student_ID])</f>
        <v>0.5787234042553191</v>
      </c>
      <c r="T463">
        <f>AVERAGE(Table1[Academic Impact Flag])</f>
        <v>0.64255319148936174</v>
      </c>
      <c r="U463">
        <f>AVERAGE(Table1[Sleep_Hours_Per_Night])</f>
        <v>6.868936170212768</v>
      </c>
      <c r="V463">
        <f>AVERAGE(Table1[Mental_Health_Score])</f>
        <v>6.2269503546099294</v>
      </c>
    </row>
    <row r="464" spans="1:22" x14ac:dyDescent="0.3">
      <c r="A464">
        <v>463</v>
      </c>
      <c r="B464">
        <v>20</v>
      </c>
      <c r="C464" t="s">
        <v>12</v>
      </c>
      <c r="D464" t="s">
        <v>13</v>
      </c>
      <c r="E464" t="s">
        <v>54</v>
      </c>
      <c r="F464">
        <v>3.5</v>
      </c>
      <c r="G464" t="s">
        <v>25</v>
      </c>
      <c r="H464" t="s">
        <v>16</v>
      </c>
      <c r="I464">
        <v>8.4</v>
      </c>
      <c r="J464">
        <v>7</v>
      </c>
      <c r="K464" t="s">
        <v>23</v>
      </c>
      <c r="L464">
        <v>6</v>
      </c>
      <c r="M464" t="str">
        <f>IF(Table1[[#This Row],[Age]]&lt;=18,"Teen",IF(Table1[[#This Row],[Age]]&lt;=21,"Young Adult","Adult"))</f>
        <v>Young Adult</v>
      </c>
      <c r="N464" t="str">
        <f t="shared" si="35"/>
        <v>Moderate</v>
      </c>
      <c r="O464" t="str">
        <f t="shared" si="36"/>
        <v>Medium</v>
      </c>
      <c r="P464" t="str">
        <f t="shared" si="37"/>
        <v>Healthy</v>
      </c>
      <c r="Q464">
        <f t="shared" si="38"/>
        <v>1</v>
      </c>
      <c r="R464" t="str">
        <f t="shared" si="39"/>
        <v>Good</v>
      </c>
      <c r="S464">
        <f>COUNTIF('Students Social Media Addiction'!O:O,"High")/COUNTA(Table1[Student_ID])</f>
        <v>0.5787234042553191</v>
      </c>
      <c r="T464">
        <f>AVERAGE(Table1[Academic Impact Flag])</f>
        <v>0.64255319148936174</v>
      </c>
      <c r="U464">
        <f>AVERAGE(Table1[Sleep_Hours_Per_Night])</f>
        <v>6.868936170212768</v>
      </c>
      <c r="V464">
        <f>AVERAGE(Table1[Mental_Health_Score])</f>
        <v>6.2269503546099294</v>
      </c>
    </row>
    <row r="465" spans="1:22" x14ac:dyDescent="0.3">
      <c r="A465">
        <v>464</v>
      </c>
      <c r="B465">
        <v>22</v>
      </c>
      <c r="C465" t="s">
        <v>18</v>
      </c>
      <c r="D465" t="s">
        <v>19</v>
      </c>
      <c r="E465" t="s">
        <v>20</v>
      </c>
      <c r="F465">
        <v>7.2</v>
      </c>
      <c r="G465" t="s">
        <v>142</v>
      </c>
      <c r="H465" t="s">
        <v>16</v>
      </c>
      <c r="I465">
        <v>5.0999999999999996</v>
      </c>
      <c r="J465">
        <v>5</v>
      </c>
      <c r="K465" t="s">
        <v>17</v>
      </c>
      <c r="L465">
        <v>8</v>
      </c>
      <c r="M465" t="str">
        <f>IF(Table1[[#This Row],[Age]]&lt;=18,"Teen",IF(Table1[[#This Row],[Age]]&lt;=21,"Young Adult","Adult"))</f>
        <v>Adult</v>
      </c>
      <c r="N465" t="str">
        <f t="shared" si="35"/>
        <v>Very High</v>
      </c>
      <c r="O465" t="str">
        <f t="shared" si="36"/>
        <v>High</v>
      </c>
      <c r="P465" t="str">
        <f t="shared" si="37"/>
        <v>Poor</v>
      </c>
      <c r="Q465">
        <f t="shared" si="38"/>
        <v>1</v>
      </c>
      <c r="R465" t="str">
        <f t="shared" si="39"/>
        <v>Average</v>
      </c>
      <c r="S465">
        <f>COUNTIF('Students Social Media Addiction'!O:O,"High")/COUNTA(Table1[Student_ID])</f>
        <v>0.5787234042553191</v>
      </c>
      <c r="T465">
        <f>AVERAGE(Table1[Academic Impact Flag])</f>
        <v>0.64255319148936174</v>
      </c>
      <c r="U465">
        <f>AVERAGE(Table1[Sleep_Hours_Per_Night])</f>
        <v>6.868936170212768</v>
      </c>
      <c r="V465">
        <f>AVERAGE(Table1[Mental_Health_Score])</f>
        <v>6.2269503546099294</v>
      </c>
    </row>
    <row r="466" spans="1:22" x14ac:dyDescent="0.3">
      <c r="A466">
        <v>465</v>
      </c>
      <c r="B466">
        <v>19</v>
      </c>
      <c r="C466" t="s">
        <v>12</v>
      </c>
      <c r="D466" t="s">
        <v>13</v>
      </c>
      <c r="E466" t="s">
        <v>50</v>
      </c>
      <c r="F466">
        <v>2.5</v>
      </c>
      <c r="G466" t="s">
        <v>15</v>
      </c>
      <c r="H466" t="s">
        <v>22</v>
      </c>
      <c r="I466">
        <v>9.3000000000000007</v>
      </c>
      <c r="J466">
        <v>8</v>
      </c>
      <c r="K466" t="s">
        <v>23</v>
      </c>
      <c r="L466">
        <v>4</v>
      </c>
      <c r="M466" t="str">
        <f>IF(Table1[[#This Row],[Age]]&lt;=18,"Teen",IF(Table1[[#This Row],[Age]]&lt;=21,"Young Adult","Adult"))</f>
        <v>Young Adult</v>
      </c>
      <c r="N466" t="str">
        <f t="shared" si="35"/>
        <v>Moderate</v>
      </c>
      <c r="O466" t="str">
        <f t="shared" si="36"/>
        <v>Medium</v>
      </c>
      <c r="P466" t="str">
        <f t="shared" si="37"/>
        <v>Healthy</v>
      </c>
      <c r="Q466">
        <f t="shared" si="38"/>
        <v>0</v>
      </c>
      <c r="R466" t="str">
        <f t="shared" si="39"/>
        <v>Good</v>
      </c>
      <c r="S466">
        <f>COUNTIF('Students Social Media Addiction'!O:O,"High")/COUNTA(Table1[Student_ID])</f>
        <v>0.5787234042553191</v>
      </c>
      <c r="T466">
        <f>AVERAGE(Table1[Academic Impact Flag])</f>
        <v>0.64255319148936174</v>
      </c>
      <c r="U466">
        <f>AVERAGE(Table1[Sleep_Hours_Per_Night])</f>
        <v>6.868936170212768</v>
      </c>
      <c r="V466">
        <f>AVERAGE(Table1[Mental_Health_Score])</f>
        <v>6.2269503546099294</v>
      </c>
    </row>
    <row r="467" spans="1:22" x14ac:dyDescent="0.3">
      <c r="A467">
        <v>466</v>
      </c>
      <c r="B467">
        <v>21</v>
      </c>
      <c r="C467" t="s">
        <v>18</v>
      </c>
      <c r="D467" t="s">
        <v>19</v>
      </c>
      <c r="E467" t="s">
        <v>64</v>
      </c>
      <c r="F467">
        <v>4.0999999999999996</v>
      </c>
      <c r="G467" t="s">
        <v>15</v>
      </c>
      <c r="H467" t="s">
        <v>16</v>
      </c>
      <c r="I467">
        <v>8.1</v>
      </c>
      <c r="J467">
        <v>6</v>
      </c>
      <c r="K467" t="s">
        <v>23</v>
      </c>
      <c r="L467">
        <v>7</v>
      </c>
      <c r="M467" t="str">
        <f>IF(Table1[[#This Row],[Age]]&lt;=18,"Teen",IF(Table1[[#This Row],[Age]]&lt;=21,"Young Adult","Adult"))</f>
        <v>Young Adult</v>
      </c>
      <c r="N467" t="str">
        <f t="shared" si="35"/>
        <v>High</v>
      </c>
      <c r="O467" t="str">
        <f t="shared" si="36"/>
        <v>High</v>
      </c>
      <c r="P467" t="str">
        <f t="shared" si="37"/>
        <v>Healthy</v>
      </c>
      <c r="Q467">
        <f t="shared" si="38"/>
        <v>1</v>
      </c>
      <c r="R467" t="str">
        <f t="shared" si="39"/>
        <v>Average</v>
      </c>
      <c r="S467">
        <f>COUNTIF('Students Social Media Addiction'!O:O,"High")/COUNTA(Table1[Student_ID])</f>
        <v>0.5787234042553191</v>
      </c>
      <c r="T467">
        <f>AVERAGE(Table1[Academic Impact Flag])</f>
        <v>0.64255319148936174</v>
      </c>
      <c r="U467">
        <f>AVERAGE(Table1[Sleep_Hours_Per_Night])</f>
        <v>6.868936170212768</v>
      </c>
      <c r="V467">
        <f>AVERAGE(Table1[Mental_Health_Score])</f>
        <v>6.2269503546099294</v>
      </c>
    </row>
    <row r="468" spans="1:22" x14ac:dyDescent="0.3">
      <c r="A468">
        <v>467</v>
      </c>
      <c r="B468">
        <v>20</v>
      </c>
      <c r="C468" t="s">
        <v>12</v>
      </c>
      <c r="D468" t="s">
        <v>13</v>
      </c>
      <c r="E468" t="s">
        <v>24</v>
      </c>
      <c r="F468">
        <v>8.1999999999999993</v>
      </c>
      <c r="G468" t="s">
        <v>25</v>
      </c>
      <c r="H468" t="s">
        <v>16</v>
      </c>
      <c r="I468">
        <v>4.0999999999999996</v>
      </c>
      <c r="J468">
        <v>5</v>
      </c>
      <c r="K468" t="s">
        <v>17</v>
      </c>
      <c r="L468">
        <v>9</v>
      </c>
      <c r="M468" t="str">
        <f>IF(Table1[[#This Row],[Age]]&lt;=18,"Teen",IF(Table1[[#This Row],[Age]]&lt;=21,"Young Adult","Adult"))</f>
        <v>Young Adult</v>
      </c>
      <c r="N468" t="str">
        <f t="shared" si="35"/>
        <v>Very High</v>
      </c>
      <c r="O468" t="str">
        <f t="shared" si="36"/>
        <v>High</v>
      </c>
      <c r="P468" t="str">
        <f t="shared" si="37"/>
        <v>Poor</v>
      </c>
      <c r="Q468">
        <f t="shared" si="38"/>
        <v>1</v>
      </c>
      <c r="R468" t="str">
        <f t="shared" si="39"/>
        <v>Average</v>
      </c>
      <c r="S468">
        <f>COUNTIF('Students Social Media Addiction'!O:O,"High")/COUNTA(Table1[Student_ID])</f>
        <v>0.5787234042553191</v>
      </c>
      <c r="T468">
        <f>AVERAGE(Table1[Academic Impact Flag])</f>
        <v>0.64255319148936174</v>
      </c>
      <c r="U468">
        <f>AVERAGE(Table1[Sleep_Hours_Per_Night])</f>
        <v>6.868936170212768</v>
      </c>
      <c r="V468">
        <f>AVERAGE(Table1[Mental_Health_Score])</f>
        <v>6.2269503546099294</v>
      </c>
    </row>
    <row r="469" spans="1:22" x14ac:dyDescent="0.3">
      <c r="A469">
        <v>468</v>
      </c>
      <c r="B469">
        <v>22</v>
      </c>
      <c r="C469" t="s">
        <v>18</v>
      </c>
      <c r="D469" t="s">
        <v>19</v>
      </c>
      <c r="E469" t="s">
        <v>42</v>
      </c>
      <c r="F469">
        <v>7</v>
      </c>
      <c r="G469" t="s">
        <v>142</v>
      </c>
      <c r="H469" t="s">
        <v>16</v>
      </c>
      <c r="I469">
        <v>5.2</v>
      </c>
      <c r="J469">
        <v>6</v>
      </c>
      <c r="K469" t="s">
        <v>23</v>
      </c>
      <c r="L469">
        <v>7</v>
      </c>
      <c r="M469" t="str">
        <f>IF(Table1[[#This Row],[Age]]&lt;=18,"Teen",IF(Table1[[#This Row],[Age]]&lt;=21,"Young Adult","Adult"))</f>
        <v>Adult</v>
      </c>
      <c r="N469" t="str">
        <f t="shared" si="35"/>
        <v>Very High</v>
      </c>
      <c r="O469" t="str">
        <f t="shared" si="36"/>
        <v>High</v>
      </c>
      <c r="P469" t="str">
        <f t="shared" si="37"/>
        <v>Poor</v>
      </c>
      <c r="Q469">
        <f t="shared" si="38"/>
        <v>1</v>
      </c>
      <c r="R469" t="str">
        <f t="shared" si="39"/>
        <v>Average</v>
      </c>
      <c r="S469">
        <f>COUNTIF('Students Social Media Addiction'!O:O,"High")/COUNTA(Table1[Student_ID])</f>
        <v>0.5787234042553191</v>
      </c>
      <c r="T469">
        <f>AVERAGE(Table1[Academic Impact Flag])</f>
        <v>0.64255319148936174</v>
      </c>
      <c r="U469">
        <f>AVERAGE(Table1[Sleep_Hours_Per_Night])</f>
        <v>6.868936170212768</v>
      </c>
      <c r="V469">
        <f>AVERAGE(Table1[Mental_Health_Score])</f>
        <v>6.2269503546099294</v>
      </c>
    </row>
    <row r="470" spans="1:22" x14ac:dyDescent="0.3">
      <c r="A470">
        <v>469</v>
      </c>
      <c r="B470">
        <v>19</v>
      </c>
      <c r="C470" t="s">
        <v>12</v>
      </c>
      <c r="D470" t="s">
        <v>13</v>
      </c>
      <c r="E470" t="s">
        <v>39</v>
      </c>
      <c r="F470">
        <v>3.1</v>
      </c>
      <c r="G470" t="s">
        <v>15</v>
      </c>
      <c r="H470" t="s">
        <v>22</v>
      </c>
      <c r="I470">
        <v>8.9</v>
      </c>
      <c r="J470">
        <v>7</v>
      </c>
      <c r="K470" t="s">
        <v>17</v>
      </c>
      <c r="L470">
        <v>5</v>
      </c>
      <c r="M470" t="str">
        <f>IF(Table1[[#This Row],[Age]]&lt;=18,"Teen",IF(Table1[[#This Row],[Age]]&lt;=21,"Young Adult","Adult"))</f>
        <v>Young Adult</v>
      </c>
      <c r="N470" t="str">
        <f t="shared" si="35"/>
        <v>Moderate</v>
      </c>
      <c r="O470" t="str">
        <f t="shared" si="36"/>
        <v>Medium</v>
      </c>
      <c r="P470" t="str">
        <f t="shared" si="37"/>
        <v>Healthy</v>
      </c>
      <c r="Q470">
        <f t="shared" si="38"/>
        <v>0</v>
      </c>
      <c r="R470" t="str">
        <f t="shared" si="39"/>
        <v>Good</v>
      </c>
      <c r="S470">
        <f>COUNTIF('Students Social Media Addiction'!O:O,"High")/COUNTA(Table1[Student_ID])</f>
        <v>0.5787234042553191</v>
      </c>
      <c r="T470">
        <f>AVERAGE(Table1[Academic Impact Flag])</f>
        <v>0.64255319148936174</v>
      </c>
      <c r="U470">
        <f>AVERAGE(Table1[Sleep_Hours_Per_Night])</f>
        <v>6.868936170212768</v>
      </c>
      <c r="V470">
        <f>AVERAGE(Table1[Mental_Health_Score])</f>
        <v>6.2269503546099294</v>
      </c>
    </row>
    <row r="471" spans="1:22" x14ac:dyDescent="0.3">
      <c r="A471">
        <v>470</v>
      </c>
      <c r="B471">
        <v>21</v>
      </c>
      <c r="C471" t="s">
        <v>18</v>
      </c>
      <c r="D471" t="s">
        <v>19</v>
      </c>
      <c r="E471" t="s">
        <v>30</v>
      </c>
      <c r="F471">
        <v>3.9</v>
      </c>
      <c r="G471" t="s">
        <v>15</v>
      </c>
      <c r="H471" t="s">
        <v>16</v>
      </c>
      <c r="I471">
        <v>8.3000000000000007</v>
      </c>
      <c r="J471">
        <v>6</v>
      </c>
      <c r="K471" t="s">
        <v>23</v>
      </c>
      <c r="L471">
        <v>7</v>
      </c>
      <c r="M471" t="str">
        <f>IF(Table1[[#This Row],[Age]]&lt;=18,"Teen",IF(Table1[[#This Row],[Age]]&lt;=21,"Young Adult","Adult"))</f>
        <v>Young Adult</v>
      </c>
      <c r="N471" t="str">
        <f t="shared" si="35"/>
        <v>Moderate</v>
      </c>
      <c r="O471" t="str">
        <f t="shared" si="36"/>
        <v>High</v>
      </c>
      <c r="P471" t="str">
        <f t="shared" si="37"/>
        <v>Healthy</v>
      </c>
      <c r="Q471">
        <f t="shared" si="38"/>
        <v>1</v>
      </c>
      <c r="R471" t="str">
        <f t="shared" si="39"/>
        <v>Average</v>
      </c>
      <c r="S471">
        <f>COUNTIF('Students Social Media Addiction'!O:O,"High")/COUNTA(Table1[Student_ID])</f>
        <v>0.5787234042553191</v>
      </c>
      <c r="T471">
        <f>AVERAGE(Table1[Academic Impact Flag])</f>
        <v>0.64255319148936174</v>
      </c>
      <c r="U471">
        <f>AVERAGE(Table1[Sleep_Hours_Per_Night])</f>
        <v>6.868936170212768</v>
      </c>
      <c r="V471">
        <f>AVERAGE(Table1[Mental_Health_Score])</f>
        <v>6.2269503546099294</v>
      </c>
    </row>
    <row r="472" spans="1:22" x14ac:dyDescent="0.3">
      <c r="A472">
        <v>471</v>
      </c>
      <c r="B472">
        <v>20</v>
      </c>
      <c r="C472" t="s">
        <v>12</v>
      </c>
      <c r="D472" t="s">
        <v>13</v>
      </c>
      <c r="E472" t="s">
        <v>40</v>
      </c>
      <c r="F472">
        <v>3.7</v>
      </c>
      <c r="G472" t="s">
        <v>25</v>
      </c>
      <c r="H472" t="s">
        <v>16</v>
      </c>
      <c r="I472">
        <v>8.1999999999999993</v>
      </c>
      <c r="J472">
        <v>6</v>
      </c>
      <c r="K472" t="s">
        <v>23</v>
      </c>
      <c r="L472">
        <v>7</v>
      </c>
      <c r="M472" t="str">
        <f>IF(Table1[[#This Row],[Age]]&lt;=18,"Teen",IF(Table1[[#This Row],[Age]]&lt;=21,"Young Adult","Adult"))</f>
        <v>Young Adult</v>
      </c>
      <c r="N472" t="str">
        <f t="shared" si="35"/>
        <v>Moderate</v>
      </c>
      <c r="O472" t="str">
        <f t="shared" si="36"/>
        <v>High</v>
      </c>
      <c r="P472" t="str">
        <f t="shared" si="37"/>
        <v>Healthy</v>
      </c>
      <c r="Q472">
        <f t="shared" si="38"/>
        <v>1</v>
      </c>
      <c r="R472" t="str">
        <f t="shared" si="39"/>
        <v>Average</v>
      </c>
      <c r="S472">
        <f>COUNTIF('Students Social Media Addiction'!O:O,"High")/COUNTA(Table1[Student_ID])</f>
        <v>0.5787234042553191</v>
      </c>
      <c r="T472">
        <f>AVERAGE(Table1[Academic Impact Flag])</f>
        <v>0.64255319148936174</v>
      </c>
      <c r="U472">
        <f>AVERAGE(Table1[Sleep_Hours_Per_Night])</f>
        <v>6.868936170212768</v>
      </c>
      <c r="V472">
        <f>AVERAGE(Table1[Mental_Health_Score])</f>
        <v>6.2269503546099294</v>
      </c>
    </row>
    <row r="473" spans="1:22" x14ac:dyDescent="0.3">
      <c r="A473">
        <v>472</v>
      </c>
      <c r="B473">
        <v>22</v>
      </c>
      <c r="C473" t="s">
        <v>18</v>
      </c>
      <c r="D473" t="s">
        <v>19</v>
      </c>
      <c r="E473" t="s">
        <v>47</v>
      </c>
      <c r="F473">
        <v>2.5</v>
      </c>
      <c r="G473" t="s">
        <v>31</v>
      </c>
      <c r="H473" t="s">
        <v>22</v>
      </c>
      <c r="I473">
        <v>9.3000000000000007</v>
      </c>
      <c r="J473">
        <v>8</v>
      </c>
      <c r="K473" t="s">
        <v>17</v>
      </c>
      <c r="L473">
        <v>4</v>
      </c>
      <c r="M473" t="str">
        <f>IF(Table1[[#This Row],[Age]]&lt;=18,"Teen",IF(Table1[[#This Row],[Age]]&lt;=21,"Young Adult","Adult"))</f>
        <v>Adult</v>
      </c>
      <c r="N473" t="str">
        <f t="shared" si="35"/>
        <v>Moderate</v>
      </c>
      <c r="O473" t="str">
        <f t="shared" si="36"/>
        <v>Medium</v>
      </c>
      <c r="P473" t="str">
        <f t="shared" si="37"/>
        <v>Healthy</v>
      </c>
      <c r="Q473">
        <f t="shared" si="38"/>
        <v>0</v>
      </c>
      <c r="R473" t="str">
        <f t="shared" si="39"/>
        <v>Good</v>
      </c>
      <c r="S473">
        <f>COUNTIF('Students Social Media Addiction'!O:O,"High")/COUNTA(Table1[Student_ID])</f>
        <v>0.5787234042553191</v>
      </c>
      <c r="T473">
        <f>AVERAGE(Table1[Academic Impact Flag])</f>
        <v>0.64255319148936174</v>
      </c>
      <c r="U473">
        <f>AVERAGE(Table1[Sleep_Hours_Per_Night])</f>
        <v>6.868936170212768</v>
      </c>
      <c r="V473">
        <f>AVERAGE(Table1[Mental_Health_Score])</f>
        <v>6.2269503546099294</v>
      </c>
    </row>
    <row r="474" spans="1:22" x14ac:dyDescent="0.3">
      <c r="A474">
        <v>473</v>
      </c>
      <c r="B474">
        <v>19</v>
      </c>
      <c r="C474" t="s">
        <v>12</v>
      </c>
      <c r="D474" t="s">
        <v>13</v>
      </c>
      <c r="E474" t="s">
        <v>54</v>
      </c>
      <c r="F474">
        <v>3.4</v>
      </c>
      <c r="G474" t="s">
        <v>15</v>
      </c>
      <c r="H474" t="s">
        <v>16</v>
      </c>
      <c r="I474">
        <v>8.5</v>
      </c>
      <c r="J474">
        <v>7</v>
      </c>
      <c r="K474" t="s">
        <v>23</v>
      </c>
      <c r="L474">
        <v>6</v>
      </c>
      <c r="M474" t="str">
        <f>IF(Table1[[#This Row],[Age]]&lt;=18,"Teen",IF(Table1[[#This Row],[Age]]&lt;=21,"Young Adult","Adult"))</f>
        <v>Young Adult</v>
      </c>
      <c r="N474" t="str">
        <f t="shared" si="35"/>
        <v>Moderate</v>
      </c>
      <c r="O474" t="str">
        <f t="shared" si="36"/>
        <v>Medium</v>
      </c>
      <c r="P474" t="str">
        <f t="shared" si="37"/>
        <v>Healthy</v>
      </c>
      <c r="Q474">
        <f t="shared" si="38"/>
        <v>1</v>
      </c>
      <c r="R474" t="str">
        <f t="shared" si="39"/>
        <v>Good</v>
      </c>
      <c r="S474">
        <f>COUNTIF('Students Social Media Addiction'!O:O,"High")/COUNTA(Table1[Student_ID])</f>
        <v>0.5787234042553191</v>
      </c>
      <c r="T474">
        <f>AVERAGE(Table1[Academic Impact Flag])</f>
        <v>0.64255319148936174</v>
      </c>
      <c r="U474">
        <f>AVERAGE(Table1[Sleep_Hours_Per_Night])</f>
        <v>6.868936170212768</v>
      </c>
      <c r="V474">
        <f>AVERAGE(Table1[Mental_Health_Score])</f>
        <v>6.2269503546099294</v>
      </c>
    </row>
    <row r="475" spans="1:22" x14ac:dyDescent="0.3">
      <c r="A475">
        <v>474</v>
      </c>
      <c r="B475">
        <v>21</v>
      </c>
      <c r="C475" t="s">
        <v>18</v>
      </c>
      <c r="D475" t="s">
        <v>19</v>
      </c>
      <c r="E475" t="s">
        <v>20</v>
      </c>
      <c r="F475">
        <v>7.3</v>
      </c>
      <c r="G475" t="s">
        <v>142</v>
      </c>
      <c r="H475" t="s">
        <v>16</v>
      </c>
      <c r="I475">
        <v>5</v>
      </c>
      <c r="J475">
        <v>5</v>
      </c>
      <c r="K475" t="s">
        <v>17</v>
      </c>
      <c r="L475">
        <v>8</v>
      </c>
      <c r="M475" t="str">
        <f>IF(Table1[[#This Row],[Age]]&lt;=18,"Teen",IF(Table1[[#This Row],[Age]]&lt;=21,"Young Adult","Adult"))</f>
        <v>Young Adult</v>
      </c>
      <c r="N475" t="str">
        <f t="shared" si="35"/>
        <v>Very High</v>
      </c>
      <c r="O475" t="str">
        <f t="shared" si="36"/>
        <v>High</v>
      </c>
      <c r="P475" t="str">
        <f t="shared" si="37"/>
        <v>Poor</v>
      </c>
      <c r="Q475">
        <f t="shared" si="38"/>
        <v>1</v>
      </c>
      <c r="R475" t="str">
        <f t="shared" si="39"/>
        <v>Average</v>
      </c>
      <c r="S475">
        <f>COUNTIF('Students Social Media Addiction'!O:O,"High")/COUNTA(Table1[Student_ID])</f>
        <v>0.5787234042553191</v>
      </c>
      <c r="T475">
        <f>AVERAGE(Table1[Academic Impact Flag])</f>
        <v>0.64255319148936174</v>
      </c>
      <c r="U475">
        <f>AVERAGE(Table1[Sleep_Hours_Per_Night])</f>
        <v>6.868936170212768</v>
      </c>
      <c r="V475">
        <f>AVERAGE(Table1[Mental_Health_Score])</f>
        <v>6.2269503546099294</v>
      </c>
    </row>
    <row r="476" spans="1:22" x14ac:dyDescent="0.3">
      <c r="A476">
        <v>475</v>
      </c>
      <c r="B476">
        <v>20</v>
      </c>
      <c r="C476" t="s">
        <v>12</v>
      </c>
      <c r="D476" t="s">
        <v>13</v>
      </c>
      <c r="E476" t="s">
        <v>50</v>
      </c>
      <c r="F476">
        <v>2.4</v>
      </c>
      <c r="G476" t="s">
        <v>15</v>
      </c>
      <c r="H476" t="s">
        <v>22</v>
      </c>
      <c r="I476">
        <v>9.4</v>
      </c>
      <c r="J476">
        <v>8</v>
      </c>
      <c r="K476" t="s">
        <v>23</v>
      </c>
      <c r="L476">
        <v>4</v>
      </c>
      <c r="M476" t="str">
        <f>IF(Table1[[#This Row],[Age]]&lt;=18,"Teen",IF(Table1[[#This Row],[Age]]&lt;=21,"Young Adult","Adult"))</f>
        <v>Young Adult</v>
      </c>
      <c r="N476" t="str">
        <f t="shared" si="35"/>
        <v>Moderate</v>
      </c>
      <c r="O476" t="str">
        <f t="shared" si="36"/>
        <v>Medium</v>
      </c>
      <c r="P476" t="str">
        <f t="shared" si="37"/>
        <v>Healthy</v>
      </c>
      <c r="Q476">
        <f t="shared" si="38"/>
        <v>0</v>
      </c>
      <c r="R476" t="str">
        <f t="shared" si="39"/>
        <v>Good</v>
      </c>
      <c r="S476">
        <f>COUNTIF('Students Social Media Addiction'!O:O,"High")/COUNTA(Table1[Student_ID])</f>
        <v>0.5787234042553191</v>
      </c>
      <c r="T476">
        <f>AVERAGE(Table1[Academic Impact Flag])</f>
        <v>0.64255319148936174</v>
      </c>
      <c r="U476">
        <f>AVERAGE(Table1[Sleep_Hours_Per_Night])</f>
        <v>6.868936170212768</v>
      </c>
      <c r="V476">
        <f>AVERAGE(Table1[Mental_Health_Score])</f>
        <v>6.2269503546099294</v>
      </c>
    </row>
    <row r="477" spans="1:22" x14ac:dyDescent="0.3">
      <c r="A477">
        <v>476</v>
      </c>
      <c r="B477">
        <v>22</v>
      </c>
      <c r="C477" t="s">
        <v>18</v>
      </c>
      <c r="D477" t="s">
        <v>19</v>
      </c>
      <c r="E477" t="s">
        <v>64</v>
      </c>
      <c r="F477">
        <v>4</v>
      </c>
      <c r="G477" t="s">
        <v>25</v>
      </c>
      <c r="H477" t="s">
        <v>16</v>
      </c>
      <c r="I477">
        <v>8.1999999999999993</v>
      </c>
      <c r="J477">
        <v>6</v>
      </c>
      <c r="K477" t="s">
        <v>23</v>
      </c>
      <c r="L477">
        <v>7</v>
      </c>
      <c r="M477" t="str">
        <f>IF(Table1[[#This Row],[Age]]&lt;=18,"Teen",IF(Table1[[#This Row],[Age]]&lt;=21,"Young Adult","Adult"))</f>
        <v>Adult</v>
      </c>
      <c r="N477" t="str">
        <f t="shared" si="35"/>
        <v>High</v>
      </c>
      <c r="O477" t="str">
        <f t="shared" si="36"/>
        <v>High</v>
      </c>
      <c r="P477" t="str">
        <f t="shared" si="37"/>
        <v>Healthy</v>
      </c>
      <c r="Q477">
        <f t="shared" si="38"/>
        <v>1</v>
      </c>
      <c r="R477" t="str">
        <f t="shared" si="39"/>
        <v>Average</v>
      </c>
      <c r="S477">
        <f>COUNTIF('Students Social Media Addiction'!O:O,"High")/COUNTA(Table1[Student_ID])</f>
        <v>0.5787234042553191</v>
      </c>
      <c r="T477">
        <f>AVERAGE(Table1[Academic Impact Flag])</f>
        <v>0.64255319148936174</v>
      </c>
      <c r="U477">
        <f>AVERAGE(Table1[Sleep_Hours_Per_Night])</f>
        <v>6.868936170212768</v>
      </c>
      <c r="V477">
        <f>AVERAGE(Table1[Mental_Health_Score])</f>
        <v>6.2269503546099294</v>
      </c>
    </row>
    <row r="478" spans="1:22" x14ac:dyDescent="0.3">
      <c r="A478">
        <v>477</v>
      </c>
      <c r="B478">
        <v>19</v>
      </c>
      <c r="C478" t="s">
        <v>12</v>
      </c>
      <c r="D478" t="s">
        <v>13</v>
      </c>
      <c r="E478" t="s">
        <v>24</v>
      </c>
      <c r="F478">
        <v>8.3000000000000007</v>
      </c>
      <c r="G478" t="s">
        <v>15</v>
      </c>
      <c r="H478" t="s">
        <v>16</v>
      </c>
      <c r="I478">
        <v>4</v>
      </c>
      <c r="J478">
        <v>5</v>
      </c>
      <c r="K478" t="s">
        <v>17</v>
      </c>
      <c r="L478">
        <v>9</v>
      </c>
      <c r="M478" t="str">
        <f>IF(Table1[[#This Row],[Age]]&lt;=18,"Teen",IF(Table1[[#This Row],[Age]]&lt;=21,"Young Adult","Adult"))</f>
        <v>Young Adult</v>
      </c>
      <c r="N478" t="str">
        <f t="shared" si="35"/>
        <v>Very High</v>
      </c>
      <c r="O478" t="str">
        <f t="shared" si="36"/>
        <v>High</v>
      </c>
      <c r="P478" t="str">
        <f t="shared" si="37"/>
        <v>Poor</v>
      </c>
      <c r="Q478">
        <f t="shared" si="38"/>
        <v>1</v>
      </c>
      <c r="R478" t="str">
        <f t="shared" si="39"/>
        <v>Average</v>
      </c>
      <c r="S478">
        <f>COUNTIF('Students Social Media Addiction'!O:O,"High")/COUNTA(Table1[Student_ID])</f>
        <v>0.5787234042553191</v>
      </c>
      <c r="T478">
        <f>AVERAGE(Table1[Academic Impact Flag])</f>
        <v>0.64255319148936174</v>
      </c>
      <c r="U478">
        <f>AVERAGE(Table1[Sleep_Hours_Per_Night])</f>
        <v>6.868936170212768</v>
      </c>
      <c r="V478">
        <f>AVERAGE(Table1[Mental_Health_Score])</f>
        <v>6.2269503546099294</v>
      </c>
    </row>
    <row r="479" spans="1:22" x14ac:dyDescent="0.3">
      <c r="A479">
        <v>478</v>
      </c>
      <c r="B479">
        <v>21</v>
      </c>
      <c r="C479" t="s">
        <v>18</v>
      </c>
      <c r="D479" t="s">
        <v>19</v>
      </c>
      <c r="E479" t="s">
        <v>42</v>
      </c>
      <c r="F479">
        <v>7.1</v>
      </c>
      <c r="G479" t="s">
        <v>142</v>
      </c>
      <c r="H479" t="s">
        <v>16</v>
      </c>
      <c r="I479">
        <v>5.0999999999999996</v>
      </c>
      <c r="J479">
        <v>6</v>
      </c>
      <c r="K479" t="s">
        <v>23</v>
      </c>
      <c r="L479">
        <v>7</v>
      </c>
      <c r="M479" t="str">
        <f>IF(Table1[[#This Row],[Age]]&lt;=18,"Teen",IF(Table1[[#This Row],[Age]]&lt;=21,"Young Adult","Adult"))</f>
        <v>Young Adult</v>
      </c>
      <c r="N479" t="str">
        <f t="shared" si="35"/>
        <v>Very High</v>
      </c>
      <c r="O479" t="str">
        <f t="shared" si="36"/>
        <v>High</v>
      </c>
      <c r="P479" t="str">
        <f t="shared" si="37"/>
        <v>Poor</v>
      </c>
      <c r="Q479">
        <f t="shared" si="38"/>
        <v>1</v>
      </c>
      <c r="R479" t="str">
        <f t="shared" si="39"/>
        <v>Average</v>
      </c>
      <c r="S479">
        <f>COUNTIF('Students Social Media Addiction'!O:O,"High")/COUNTA(Table1[Student_ID])</f>
        <v>0.5787234042553191</v>
      </c>
      <c r="T479">
        <f>AVERAGE(Table1[Academic Impact Flag])</f>
        <v>0.64255319148936174</v>
      </c>
      <c r="U479">
        <f>AVERAGE(Table1[Sleep_Hours_Per_Night])</f>
        <v>6.868936170212768</v>
      </c>
      <c r="V479">
        <f>AVERAGE(Table1[Mental_Health_Score])</f>
        <v>6.2269503546099294</v>
      </c>
    </row>
    <row r="480" spans="1:22" x14ac:dyDescent="0.3">
      <c r="A480">
        <v>479</v>
      </c>
      <c r="B480">
        <v>20</v>
      </c>
      <c r="C480" t="s">
        <v>12</v>
      </c>
      <c r="D480" t="s">
        <v>13</v>
      </c>
      <c r="E480" t="s">
        <v>39</v>
      </c>
      <c r="F480">
        <v>3</v>
      </c>
      <c r="G480" t="s">
        <v>15</v>
      </c>
      <c r="H480" t="s">
        <v>22</v>
      </c>
      <c r="I480">
        <v>9</v>
      </c>
      <c r="J480">
        <v>7</v>
      </c>
      <c r="K480" t="s">
        <v>17</v>
      </c>
      <c r="L480">
        <v>5</v>
      </c>
      <c r="M480" t="str">
        <f>IF(Table1[[#This Row],[Age]]&lt;=18,"Teen",IF(Table1[[#This Row],[Age]]&lt;=21,"Young Adult","Adult"))</f>
        <v>Young Adult</v>
      </c>
      <c r="N480" t="str">
        <f t="shared" si="35"/>
        <v>Moderate</v>
      </c>
      <c r="O480" t="str">
        <f t="shared" si="36"/>
        <v>Medium</v>
      </c>
      <c r="P480" t="str">
        <f t="shared" si="37"/>
        <v>Healthy</v>
      </c>
      <c r="Q480">
        <f t="shared" si="38"/>
        <v>0</v>
      </c>
      <c r="R480" t="str">
        <f t="shared" si="39"/>
        <v>Good</v>
      </c>
      <c r="S480">
        <f>COUNTIF('Students Social Media Addiction'!O:O,"High")/COUNTA(Table1[Student_ID])</f>
        <v>0.5787234042553191</v>
      </c>
      <c r="T480">
        <f>AVERAGE(Table1[Academic Impact Flag])</f>
        <v>0.64255319148936174</v>
      </c>
      <c r="U480">
        <f>AVERAGE(Table1[Sleep_Hours_Per_Night])</f>
        <v>6.868936170212768</v>
      </c>
      <c r="V480">
        <f>AVERAGE(Table1[Mental_Health_Score])</f>
        <v>6.2269503546099294</v>
      </c>
    </row>
    <row r="481" spans="1:22" x14ac:dyDescent="0.3">
      <c r="A481">
        <v>480</v>
      </c>
      <c r="B481">
        <v>22</v>
      </c>
      <c r="C481" t="s">
        <v>18</v>
      </c>
      <c r="D481" t="s">
        <v>19</v>
      </c>
      <c r="E481" t="s">
        <v>30</v>
      </c>
      <c r="F481">
        <v>3.8</v>
      </c>
      <c r="G481" t="s">
        <v>25</v>
      </c>
      <c r="H481" t="s">
        <v>16</v>
      </c>
      <c r="I481">
        <v>8.4</v>
      </c>
      <c r="J481">
        <v>6</v>
      </c>
      <c r="K481" t="s">
        <v>23</v>
      </c>
      <c r="L481">
        <v>7</v>
      </c>
      <c r="M481" t="str">
        <f>IF(Table1[[#This Row],[Age]]&lt;=18,"Teen",IF(Table1[[#This Row],[Age]]&lt;=21,"Young Adult","Adult"))</f>
        <v>Adult</v>
      </c>
      <c r="N481" t="str">
        <f t="shared" si="35"/>
        <v>Moderate</v>
      </c>
      <c r="O481" t="str">
        <f t="shared" si="36"/>
        <v>High</v>
      </c>
      <c r="P481" t="str">
        <f t="shared" si="37"/>
        <v>Healthy</v>
      </c>
      <c r="Q481">
        <f t="shared" si="38"/>
        <v>1</v>
      </c>
      <c r="R481" t="str">
        <f t="shared" si="39"/>
        <v>Average</v>
      </c>
      <c r="S481">
        <f>COUNTIF('Students Social Media Addiction'!O:O,"High")/COUNTA(Table1[Student_ID])</f>
        <v>0.5787234042553191</v>
      </c>
      <c r="T481">
        <f>AVERAGE(Table1[Academic Impact Flag])</f>
        <v>0.64255319148936174</v>
      </c>
      <c r="U481">
        <f>AVERAGE(Table1[Sleep_Hours_Per_Night])</f>
        <v>6.868936170212768</v>
      </c>
      <c r="V481">
        <f>AVERAGE(Table1[Mental_Health_Score])</f>
        <v>6.2269503546099294</v>
      </c>
    </row>
    <row r="482" spans="1:22" x14ac:dyDescent="0.3">
      <c r="A482">
        <v>481</v>
      </c>
      <c r="B482">
        <v>19</v>
      </c>
      <c r="C482" t="s">
        <v>12</v>
      </c>
      <c r="D482" t="s">
        <v>13</v>
      </c>
      <c r="E482" t="s">
        <v>40</v>
      </c>
      <c r="F482">
        <v>3.6</v>
      </c>
      <c r="G482" t="s">
        <v>15</v>
      </c>
      <c r="H482" t="s">
        <v>16</v>
      </c>
      <c r="I482">
        <v>8.3000000000000007</v>
      </c>
      <c r="J482">
        <v>6</v>
      </c>
      <c r="K482" t="s">
        <v>23</v>
      </c>
      <c r="L482">
        <v>7</v>
      </c>
      <c r="M482" t="str">
        <f>IF(Table1[[#This Row],[Age]]&lt;=18,"Teen",IF(Table1[[#This Row],[Age]]&lt;=21,"Young Adult","Adult"))</f>
        <v>Young Adult</v>
      </c>
      <c r="N482" t="str">
        <f t="shared" si="35"/>
        <v>Moderate</v>
      </c>
      <c r="O482" t="str">
        <f t="shared" si="36"/>
        <v>High</v>
      </c>
      <c r="P482" t="str">
        <f t="shared" si="37"/>
        <v>Healthy</v>
      </c>
      <c r="Q482">
        <f t="shared" si="38"/>
        <v>1</v>
      </c>
      <c r="R482" t="str">
        <f t="shared" si="39"/>
        <v>Average</v>
      </c>
      <c r="S482">
        <f>COUNTIF('Students Social Media Addiction'!O:O,"High")/COUNTA(Table1[Student_ID])</f>
        <v>0.5787234042553191</v>
      </c>
      <c r="T482">
        <f>AVERAGE(Table1[Academic Impact Flag])</f>
        <v>0.64255319148936174</v>
      </c>
      <c r="U482">
        <f>AVERAGE(Table1[Sleep_Hours_Per_Night])</f>
        <v>6.868936170212768</v>
      </c>
      <c r="V482">
        <f>AVERAGE(Table1[Mental_Health_Score])</f>
        <v>6.2269503546099294</v>
      </c>
    </row>
    <row r="483" spans="1:22" x14ac:dyDescent="0.3">
      <c r="A483">
        <v>482</v>
      </c>
      <c r="B483">
        <v>21</v>
      </c>
      <c r="C483" t="s">
        <v>18</v>
      </c>
      <c r="D483" t="s">
        <v>19</v>
      </c>
      <c r="E483" t="s">
        <v>47</v>
      </c>
      <c r="F483">
        <v>2.4</v>
      </c>
      <c r="G483" t="s">
        <v>31</v>
      </c>
      <c r="H483" t="s">
        <v>22</v>
      </c>
      <c r="I483">
        <v>9.4</v>
      </c>
      <c r="J483">
        <v>8</v>
      </c>
      <c r="K483" t="s">
        <v>17</v>
      </c>
      <c r="L483">
        <v>4</v>
      </c>
      <c r="M483" t="str">
        <f>IF(Table1[[#This Row],[Age]]&lt;=18,"Teen",IF(Table1[[#This Row],[Age]]&lt;=21,"Young Adult","Adult"))</f>
        <v>Young Adult</v>
      </c>
      <c r="N483" t="str">
        <f t="shared" si="35"/>
        <v>Moderate</v>
      </c>
      <c r="O483" t="str">
        <f t="shared" si="36"/>
        <v>Medium</v>
      </c>
      <c r="P483" t="str">
        <f t="shared" si="37"/>
        <v>Healthy</v>
      </c>
      <c r="Q483">
        <f t="shared" si="38"/>
        <v>0</v>
      </c>
      <c r="R483" t="str">
        <f t="shared" si="39"/>
        <v>Good</v>
      </c>
      <c r="S483">
        <f>COUNTIF('Students Social Media Addiction'!O:O,"High")/COUNTA(Table1[Student_ID])</f>
        <v>0.5787234042553191</v>
      </c>
      <c r="T483">
        <f>AVERAGE(Table1[Academic Impact Flag])</f>
        <v>0.64255319148936174</v>
      </c>
      <c r="U483">
        <f>AVERAGE(Table1[Sleep_Hours_Per_Night])</f>
        <v>6.868936170212768</v>
      </c>
      <c r="V483">
        <f>AVERAGE(Table1[Mental_Health_Score])</f>
        <v>6.2269503546099294</v>
      </c>
    </row>
    <row r="484" spans="1:22" x14ac:dyDescent="0.3">
      <c r="A484">
        <v>483</v>
      </c>
      <c r="B484">
        <v>20</v>
      </c>
      <c r="C484" t="s">
        <v>12</v>
      </c>
      <c r="D484" t="s">
        <v>13</v>
      </c>
      <c r="E484" t="s">
        <v>54</v>
      </c>
      <c r="F484">
        <v>3.3</v>
      </c>
      <c r="G484" t="s">
        <v>25</v>
      </c>
      <c r="H484" t="s">
        <v>16</v>
      </c>
      <c r="I484">
        <v>8.6</v>
      </c>
      <c r="J484">
        <v>7</v>
      </c>
      <c r="K484" t="s">
        <v>23</v>
      </c>
      <c r="L484">
        <v>6</v>
      </c>
      <c r="M484" t="str">
        <f>IF(Table1[[#This Row],[Age]]&lt;=18,"Teen",IF(Table1[[#This Row],[Age]]&lt;=21,"Young Adult","Adult"))</f>
        <v>Young Adult</v>
      </c>
      <c r="N484" t="str">
        <f t="shared" si="35"/>
        <v>Moderate</v>
      </c>
      <c r="O484" t="str">
        <f t="shared" si="36"/>
        <v>Medium</v>
      </c>
      <c r="P484" t="str">
        <f t="shared" si="37"/>
        <v>Healthy</v>
      </c>
      <c r="Q484">
        <f t="shared" si="38"/>
        <v>1</v>
      </c>
      <c r="R484" t="str">
        <f t="shared" si="39"/>
        <v>Good</v>
      </c>
      <c r="S484">
        <f>COUNTIF('Students Social Media Addiction'!O:O,"High")/COUNTA(Table1[Student_ID])</f>
        <v>0.5787234042553191</v>
      </c>
      <c r="T484">
        <f>AVERAGE(Table1[Academic Impact Flag])</f>
        <v>0.64255319148936174</v>
      </c>
      <c r="U484">
        <f>AVERAGE(Table1[Sleep_Hours_Per_Night])</f>
        <v>6.868936170212768</v>
      </c>
      <c r="V484">
        <f>AVERAGE(Table1[Mental_Health_Score])</f>
        <v>6.2269503546099294</v>
      </c>
    </row>
    <row r="485" spans="1:22" x14ac:dyDescent="0.3">
      <c r="A485">
        <v>484</v>
      </c>
      <c r="B485">
        <v>22</v>
      </c>
      <c r="C485" t="s">
        <v>18</v>
      </c>
      <c r="D485" t="s">
        <v>19</v>
      </c>
      <c r="E485" t="s">
        <v>20</v>
      </c>
      <c r="F485">
        <v>7.4</v>
      </c>
      <c r="G485" t="s">
        <v>142</v>
      </c>
      <c r="H485" t="s">
        <v>16</v>
      </c>
      <c r="I485">
        <v>4.9000000000000004</v>
      </c>
      <c r="J485">
        <v>5</v>
      </c>
      <c r="K485" t="s">
        <v>17</v>
      </c>
      <c r="L485">
        <v>8</v>
      </c>
      <c r="M485" t="str">
        <f>IF(Table1[[#This Row],[Age]]&lt;=18,"Teen",IF(Table1[[#This Row],[Age]]&lt;=21,"Young Adult","Adult"))</f>
        <v>Adult</v>
      </c>
      <c r="N485" t="str">
        <f t="shared" si="35"/>
        <v>Very High</v>
      </c>
      <c r="O485" t="str">
        <f t="shared" si="36"/>
        <v>High</v>
      </c>
      <c r="P485" t="str">
        <f t="shared" si="37"/>
        <v>Poor</v>
      </c>
      <c r="Q485">
        <f t="shared" si="38"/>
        <v>1</v>
      </c>
      <c r="R485" t="str">
        <f t="shared" si="39"/>
        <v>Average</v>
      </c>
      <c r="S485">
        <f>COUNTIF('Students Social Media Addiction'!O:O,"High")/COUNTA(Table1[Student_ID])</f>
        <v>0.5787234042553191</v>
      </c>
      <c r="T485">
        <f>AVERAGE(Table1[Academic Impact Flag])</f>
        <v>0.64255319148936174</v>
      </c>
      <c r="U485">
        <f>AVERAGE(Table1[Sleep_Hours_Per_Night])</f>
        <v>6.868936170212768</v>
      </c>
      <c r="V485">
        <f>AVERAGE(Table1[Mental_Health_Score])</f>
        <v>6.2269503546099294</v>
      </c>
    </row>
    <row r="486" spans="1:22" x14ac:dyDescent="0.3">
      <c r="A486">
        <v>485</v>
      </c>
      <c r="B486">
        <v>19</v>
      </c>
      <c r="C486" t="s">
        <v>12</v>
      </c>
      <c r="D486" t="s">
        <v>13</v>
      </c>
      <c r="E486" t="s">
        <v>50</v>
      </c>
      <c r="F486">
        <v>2.2999999999999998</v>
      </c>
      <c r="G486" t="s">
        <v>15</v>
      </c>
      <c r="H486" t="s">
        <v>22</v>
      </c>
      <c r="I486">
        <v>9.5</v>
      </c>
      <c r="J486">
        <v>8</v>
      </c>
      <c r="K486" t="s">
        <v>23</v>
      </c>
      <c r="L486">
        <v>4</v>
      </c>
      <c r="M486" t="str">
        <f>IF(Table1[[#This Row],[Age]]&lt;=18,"Teen",IF(Table1[[#This Row],[Age]]&lt;=21,"Young Adult","Adult"))</f>
        <v>Young Adult</v>
      </c>
      <c r="N486" t="str">
        <f t="shared" si="35"/>
        <v>Moderate</v>
      </c>
      <c r="O486" t="str">
        <f t="shared" si="36"/>
        <v>Medium</v>
      </c>
      <c r="P486" t="str">
        <f t="shared" si="37"/>
        <v>Healthy</v>
      </c>
      <c r="Q486">
        <f t="shared" si="38"/>
        <v>0</v>
      </c>
      <c r="R486" t="str">
        <f t="shared" si="39"/>
        <v>Good</v>
      </c>
      <c r="S486">
        <f>COUNTIF('Students Social Media Addiction'!O:O,"High")/COUNTA(Table1[Student_ID])</f>
        <v>0.5787234042553191</v>
      </c>
      <c r="T486">
        <f>AVERAGE(Table1[Academic Impact Flag])</f>
        <v>0.64255319148936174</v>
      </c>
      <c r="U486">
        <f>AVERAGE(Table1[Sleep_Hours_Per_Night])</f>
        <v>6.868936170212768</v>
      </c>
      <c r="V486">
        <f>AVERAGE(Table1[Mental_Health_Score])</f>
        <v>6.2269503546099294</v>
      </c>
    </row>
    <row r="487" spans="1:22" x14ac:dyDescent="0.3">
      <c r="A487">
        <v>486</v>
      </c>
      <c r="B487">
        <v>21</v>
      </c>
      <c r="C487" t="s">
        <v>18</v>
      </c>
      <c r="D487" t="s">
        <v>19</v>
      </c>
      <c r="E487" t="s">
        <v>64</v>
      </c>
      <c r="F487">
        <v>3.9</v>
      </c>
      <c r="G487" t="s">
        <v>15</v>
      </c>
      <c r="H487" t="s">
        <v>16</v>
      </c>
      <c r="I487">
        <v>8.3000000000000007</v>
      </c>
      <c r="J487">
        <v>6</v>
      </c>
      <c r="K487" t="s">
        <v>23</v>
      </c>
      <c r="L487">
        <v>7</v>
      </c>
      <c r="M487" t="str">
        <f>IF(Table1[[#This Row],[Age]]&lt;=18,"Teen",IF(Table1[[#This Row],[Age]]&lt;=21,"Young Adult","Adult"))</f>
        <v>Young Adult</v>
      </c>
      <c r="N487" t="str">
        <f t="shared" si="35"/>
        <v>Moderate</v>
      </c>
      <c r="O487" t="str">
        <f t="shared" si="36"/>
        <v>High</v>
      </c>
      <c r="P487" t="str">
        <f t="shared" si="37"/>
        <v>Healthy</v>
      </c>
      <c r="Q487">
        <f t="shared" si="38"/>
        <v>1</v>
      </c>
      <c r="R487" t="str">
        <f t="shared" si="39"/>
        <v>Average</v>
      </c>
      <c r="S487">
        <f>COUNTIF('Students Social Media Addiction'!O:O,"High")/COUNTA(Table1[Student_ID])</f>
        <v>0.5787234042553191</v>
      </c>
      <c r="T487">
        <f>AVERAGE(Table1[Academic Impact Flag])</f>
        <v>0.64255319148936174</v>
      </c>
      <c r="U487">
        <f>AVERAGE(Table1[Sleep_Hours_Per_Night])</f>
        <v>6.868936170212768</v>
      </c>
      <c r="V487">
        <f>AVERAGE(Table1[Mental_Health_Score])</f>
        <v>6.2269503546099294</v>
      </c>
    </row>
    <row r="488" spans="1:22" x14ac:dyDescent="0.3">
      <c r="A488">
        <v>487</v>
      </c>
      <c r="B488">
        <v>20</v>
      </c>
      <c r="C488" t="s">
        <v>12</v>
      </c>
      <c r="D488" t="s">
        <v>13</v>
      </c>
      <c r="E488" t="s">
        <v>24</v>
      </c>
      <c r="F488">
        <v>8.4</v>
      </c>
      <c r="G488" t="s">
        <v>25</v>
      </c>
      <c r="H488" t="s">
        <v>16</v>
      </c>
      <c r="I488">
        <v>3.9</v>
      </c>
      <c r="J488">
        <v>5</v>
      </c>
      <c r="K488" t="s">
        <v>17</v>
      </c>
      <c r="L488">
        <v>9</v>
      </c>
      <c r="M488" t="str">
        <f>IF(Table1[[#This Row],[Age]]&lt;=18,"Teen",IF(Table1[[#This Row],[Age]]&lt;=21,"Young Adult","Adult"))</f>
        <v>Young Adult</v>
      </c>
      <c r="N488" t="str">
        <f t="shared" si="35"/>
        <v>Very High</v>
      </c>
      <c r="O488" t="str">
        <f t="shared" si="36"/>
        <v>High</v>
      </c>
      <c r="P488" t="str">
        <f t="shared" si="37"/>
        <v>Poor</v>
      </c>
      <c r="Q488">
        <f t="shared" si="38"/>
        <v>1</v>
      </c>
      <c r="R488" t="str">
        <f t="shared" si="39"/>
        <v>Average</v>
      </c>
      <c r="S488">
        <f>COUNTIF('Students Social Media Addiction'!O:O,"High")/COUNTA(Table1[Student_ID])</f>
        <v>0.5787234042553191</v>
      </c>
      <c r="T488">
        <f>AVERAGE(Table1[Academic Impact Flag])</f>
        <v>0.64255319148936174</v>
      </c>
      <c r="U488">
        <f>AVERAGE(Table1[Sleep_Hours_Per_Night])</f>
        <v>6.868936170212768</v>
      </c>
      <c r="V488">
        <f>AVERAGE(Table1[Mental_Health_Score])</f>
        <v>6.2269503546099294</v>
      </c>
    </row>
    <row r="489" spans="1:22" x14ac:dyDescent="0.3">
      <c r="A489">
        <v>488</v>
      </c>
      <c r="B489">
        <v>22</v>
      </c>
      <c r="C489" t="s">
        <v>18</v>
      </c>
      <c r="D489" t="s">
        <v>19</v>
      </c>
      <c r="E489" t="s">
        <v>42</v>
      </c>
      <c r="F489">
        <v>7.2</v>
      </c>
      <c r="G489" t="s">
        <v>142</v>
      </c>
      <c r="H489" t="s">
        <v>16</v>
      </c>
      <c r="I489">
        <v>5</v>
      </c>
      <c r="J489">
        <v>6</v>
      </c>
      <c r="K489" t="s">
        <v>23</v>
      </c>
      <c r="L489">
        <v>7</v>
      </c>
      <c r="M489" t="str">
        <f>IF(Table1[[#This Row],[Age]]&lt;=18,"Teen",IF(Table1[[#This Row],[Age]]&lt;=21,"Young Adult","Adult"))</f>
        <v>Adult</v>
      </c>
      <c r="N489" t="str">
        <f t="shared" si="35"/>
        <v>Very High</v>
      </c>
      <c r="O489" t="str">
        <f t="shared" si="36"/>
        <v>High</v>
      </c>
      <c r="P489" t="str">
        <f t="shared" si="37"/>
        <v>Poor</v>
      </c>
      <c r="Q489">
        <f t="shared" si="38"/>
        <v>1</v>
      </c>
      <c r="R489" t="str">
        <f t="shared" si="39"/>
        <v>Average</v>
      </c>
      <c r="S489">
        <f>COUNTIF('Students Social Media Addiction'!O:O,"High")/COUNTA(Table1[Student_ID])</f>
        <v>0.5787234042553191</v>
      </c>
      <c r="T489">
        <f>AVERAGE(Table1[Academic Impact Flag])</f>
        <v>0.64255319148936174</v>
      </c>
      <c r="U489">
        <f>AVERAGE(Table1[Sleep_Hours_Per_Night])</f>
        <v>6.868936170212768</v>
      </c>
      <c r="V489">
        <f>AVERAGE(Table1[Mental_Health_Score])</f>
        <v>6.2269503546099294</v>
      </c>
    </row>
    <row r="490" spans="1:22" x14ac:dyDescent="0.3">
      <c r="A490">
        <v>489</v>
      </c>
      <c r="B490">
        <v>19</v>
      </c>
      <c r="C490" t="s">
        <v>12</v>
      </c>
      <c r="D490" t="s">
        <v>13</v>
      </c>
      <c r="E490" t="s">
        <v>39</v>
      </c>
      <c r="F490">
        <v>2.9</v>
      </c>
      <c r="G490" t="s">
        <v>15</v>
      </c>
      <c r="H490" t="s">
        <v>22</v>
      </c>
      <c r="I490">
        <v>9.1</v>
      </c>
      <c r="J490">
        <v>7</v>
      </c>
      <c r="K490" t="s">
        <v>17</v>
      </c>
      <c r="L490">
        <v>5</v>
      </c>
      <c r="M490" t="str">
        <f>IF(Table1[[#This Row],[Age]]&lt;=18,"Teen",IF(Table1[[#This Row],[Age]]&lt;=21,"Young Adult","Adult"))</f>
        <v>Young Adult</v>
      </c>
      <c r="N490" t="str">
        <f t="shared" si="35"/>
        <v>Moderate</v>
      </c>
      <c r="O490" t="str">
        <f t="shared" si="36"/>
        <v>Medium</v>
      </c>
      <c r="P490" t="str">
        <f t="shared" si="37"/>
        <v>Healthy</v>
      </c>
      <c r="Q490">
        <f t="shared" si="38"/>
        <v>0</v>
      </c>
      <c r="R490" t="str">
        <f t="shared" si="39"/>
        <v>Good</v>
      </c>
      <c r="S490">
        <f>COUNTIF('Students Social Media Addiction'!O:O,"High")/COUNTA(Table1[Student_ID])</f>
        <v>0.5787234042553191</v>
      </c>
      <c r="T490">
        <f>AVERAGE(Table1[Academic Impact Flag])</f>
        <v>0.64255319148936174</v>
      </c>
      <c r="U490">
        <f>AVERAGE(Table1[Sleep_Hours_Per_Night])</f>
        <v>6.868936170212768</v>
      </c>
      <c r="V490">
        <f>AVERAGE(Table1[Mental_Health_Score])</f>
        <v>6.2269503546099294</v>
      </c>
    </row>
    <row r="491" spans="1:22" x14ac:dyDescent="0.3">
      <c r="A491">
        <v>490</v>
      </c>
      <c r="B491">
        <v>21</v>
      </c>
      <c r="C491" t="s">
        <v>18</v>
      </c>
      <c r="D491" t="s">
        <v>19</v>
      </c>
      <c r="E491" t="s">
        <v>30</v>
      </c>
      <c r="F491">
        <v>3.7</v>
      </c>
      <c r="G491" t="s">
        <v>15</v>
      </c>
      <c r="H491" t="s">
        <v>16</v>
      </c>
      <c r="I491">
        <v>8.5</v>
      </c>
      <c r="J491">
        <v>6</v>
      </c>
      <c r="K491" t="s">
        <v>23</v>
      </c>
      <c r="L491">
        <v>7</v>
      </c>
      <c r="M491" t="str">
        <f>IF(Table1[[#This Row],[Age]]&lt;=18,"Teen",IF(Table1[[#This Row],[Age]]&lt;=21,"Young Adult","Adult"))</f>
        <v>Young Adult</v>
      </c>
      <c r="N491" t="str">
        <f t="shared" si="35"/>
        <v>Moderate</v>
      </c>
      <c r="O491" t="str">
        <f t="shared" si="36"/>
        <v>High</v>
      </c>
      <c r="P491" t="str">
        <f t="shared" si="37"/>
        <v>Healthy</v>
      </c>
      <c r="Q491">
        <f t="shared" si="38"/>
        <v>1</v>
      </c>
      <c r="R491" t="str">
        <f t="shared" si="39"/>
        <v>Average</v>
      </c>
      <c r="S491">
        <f>COUNTIF('Students Social Media Addiction'!O:O,"High")/COUNTA(Table1[Student_ID])</f>
        <v>0.5787234042553191</v>
      </c>
      <c r="T491">
        <f>AVERAGE(Table1[Academic Impact Flag])</f>
        <v>0.64255319148936174</v>
      </c>
      <c r="U491">
        <f>AVERAGE(Table1[Sleep_Hours_Per_Night])</f>
        <v>6.868936170212768</v>
      </c>
      <c r="V491">
        <f>AVERAGE(Table1[Mental_Health_Score])</f>
        <v>6.2269503546099294</v>
      </c>
    </row>
    <row r="492" spans="1:22" x14ac:dyDescent="0.3">
      <c r="A492">
        <v>491</v>
      </c>
      <c r="B492">
        <v>20</v>
      </c>
      <c r="C492" t="s">
        <v>12</v>
      </c>
      <c r="D492" t="s">
        <v>13</v>
      </c>
      <c r="E492" t="s">
        <v>40</v>
      </c>
      <c r="F492">
        <v>3.5</v>
      </c>
      <c r="G492" t="s">
        <v>25</v>
      </c>
      <c r="H492" t="s">
        <v>16</v>
      </c>
      <c r="I492">
        <v>8.4</v>
      </c>
      <c r="J492">
        <v>6</v>
      </c>
      <c r="K492" t="s">
        <v>23</v>
      </c>
      <c r="L492">
        <v>7</v>
      </c>
      <c r="M492" t="str">
        <f>IF(Table1[[#This Row],[Age]]&lt;=18,"Teen",IF(Table1[[#This Row],[Age]]&lt;=21,"Young Adult","Adult"))</f>
        <v>Young Adult</v>
      </c>
      <c r="N492" t="str">
        <f t="shared" si="35"/>
        <v>Moderate</v>
      </c>
      <c r="O492" t="str">
        <f t="shared" si="36"/>
        <v>High</v>
      </c>
      <c r="P492" t="str">
        <f t="shared" si="37"/>
        <v>Healthy</v>
      </c>
      <c r="Q492">
        <f t="shared" si="38"/>
        <v>1</v>
      </c>
      <c r="R492" t="str">
        <f t="shared" si="39"/>
        <v>Average</v>
      </c>
      <c r="S492">
        <f>COUNTIF('Students Social Media Addiction'!O:O,"High")/COUNTA(Table1[Student_ID])</f>
        <v>0.5787234042553191</v>
      </c>
      <c r="T492">
        <f>AVERAGE(Table1[Academic Impact Flag])</f>
        <v>0.64255319148936174</v>
      </c>
      <c r="U492">
        <f>AVERAGE(Table1[Sleep_Hours_Per_Night])</f>
        <v>6.868936170212768</v>
      </c>
      <c r="V492">
        <f>AVERAGE(Table1[Mental_Health_Score])</f>
        <v>6.2269503546099294</v>
      </c>
    </row>
    <row r="493" spans="1:22" x14ac:dyDescent="0.3">
      <c r="A493">
        <v>492</v>
      </c>
      <c r="B493">
        <v>22</v>
      </c>
      <c r="C493" t="s">
        <v>18</v>
      </c>
      <c r="D493" t="s">
        <v>19</v>
      </c>
      <c r="E493" t="s">
        <v>47</v>
      </c>
      <c r="F493">
        <v>2.2999999999999998</v>
      </c>
      <c r="G493" t="s">
        <v>31</v>
      </c>
      <c r="H493" t="s">
        <v>22</v>
      </c>
      <c r="I493">
        <v>9.5</v>
      </c>
      <c r="J493">
        <v>8</v>
      </c>
      <c r="K493" t="s">
        <v>17</v>
      </c>
      <c r="L493">
        <v>4</v>
      </c>
      <c r="M493" t="str">
        <f>IF(Table1[[#This Row],[Age]]&lt;=18,"Teen",IF(Table1[[#This Row],[Age]]&lt;=21,"Young Adult","Adult"))</f>
        <v>Adult</v>
      </c>
      <c r="N493" t="str">
        <f t="shared" si="35"/>
        <v>Moderate</v>
      </c>
      <c r="O493" t="str">
        <f t="shared" si="36"/>
        <v>Medium</v>
      </c>
      <c r="P493" t="str">
        <f t="shared" si="37"/>
        <v>Healthy</v>
      </c>
      <c r="Q493">
        <f t="shared" si="38"/>
        <v>0</v>
      </c>
      <c r="R493" t="str">
        <f t="shared" si="39"/>
        <v>Good</v>
      </c>
      <c r="S493">
        <f>COUNTIF('Students Social Media Addiction'!O:O,"High")/COUNTA(Table1[Student_ID])</f>
        <v>0.5787234042553191</v>
      </c>
      <c r="T493">
        <f>AVERAGE(Table1[Academic Impact Flag])</f>
        <v>0.64255319148936174</v>
      </c>
      <c r="U493">
        <f>AVERAGE(Table1[Sleep_Hours_Per_Night])</f>
        <v>6.868936170212768</v>
      </c>
      <c r="V493">
        <f>AVERAGE(Table1[Mental_Health_Score])</f>
        <v>6.2269503546099294</v>
      </c>
    </row>
    <row r="494" spans="1:22" x14ac:dyDescent="0.3">
      <c r="A494">
        <v>493</v>
      </c>
      <c r="B494">
        <v>19</v>
      </c>
      <c r="C494" t="s">
        <v>12</v>
      </c>
      <c r="D494" t="s">
        <v>13</v>
      </c>
      <c r="E494" t="s">
        <v>54</v>
      </c>
      <c r="F494">
        <v>3.2</v>
      </c>
      <c r="G494" t="s">
        <v>15</v>
      </c>
      <c r="H494" t="s">
        <v>16</v>
      </c>
      <c r="I494">
        <v>8.6999999999999993</v>
      </c>
      <c r="J494">
        <v>7</v>
      </c>
      <c r="K494" t="s">
        <v>23</v>
      </c>
      <c r="L494">
        <v>6</v>
      </c>
      <c r="M494" t="str">
        <f>IF(Table1[[#This Row],[Age]]&lt;=18,"Teen",IF(Table1[[#This Row],[Age]]&lt;=21,"Young Adult","Adult"))</f>
        <v>Young Adult</v>
      </c>
      <c r="N494" t="str">
        <f t="shared" si="35"/>
        <v>Moderate</v>
      </c>
      <c r="O494" t="str">
        <f t="shared" si="36"/>
        <v>Medium</v>
      </c>
      <c r="P494" t="str">
        <f t="shared" si="37"/>
        <v>Healthy</v>
      </c>
      <c r="Q494">
        <f t="shared" si="38"/>
        <v>1</v>
      </c>
      <c r="R494" t="str">
        <f t="shared" si="39"/>
        <v>Good</v>
      </c>
      <c r="S494">
        <f>COUNTIF('Students Social Media Addiction'!O:O,"High")/COUNTA(Table1[Student_ID])</f>
        <v>0.5787234042553191</v>
      </c>
      <c r="T494">
        <f>AVERAGE(Table1[Academic Impact Flag])</f>
        <v>0.64255319148936174</v>
      </c>
      <c r="U494">
        <f>AVERAGE(Table1[Sleep_Hours_Per_Night])</f>
        <v>6.868936170212768</v>
      </c>
      <c r="V494">
        <f>AVERAGE(Table1[Mental_Health_Score])</f>
        <v>6.2269503546099294</v>
      </c>
    </row>
    <row r="495" spans="1:22" x14ac:dyDescent="0.3">
      <c r="A495">
        <v>494</v>
      </c>
      <c r="B495">
        <v>21</v>
      </c>
      <c r="C495" t="s">
        <v>18</v>
      </c>
      <c r="D495" t="s">
        <v>19</v>
      </c>
      <c r="E495" t="s">
        <v>20</v>
      </c>
      <c r="F495">
        <v>7.5</v>
      </c>
      <c r="G495" t="s">
        <v>142</v>
      </c>
      <c r="H495" t="s">
        <v>16</v>
      </c>
      <c r="I495">
        <v>4.8</v>
      </c>
      <c r="J495">
        <v>5</v>
      </c>
      <c r="K495" t="s">
        <v>17</v>
      </c>
      <c r="L495">
        <v>8</v>
      </c>
      <c r="M495" t="str">
        <f>IF(Table1[[#This Row],[Age]]&lt;=18,"Teen",IF(Table1[[#This Row],[Age]]&lt;=21,"Young Adult","Adult"))</f>
        <v>Young Adult</v>
      </c>
      <c r="N495" t="str">
        <f t="shared" si="35"/>
        <v>Very High</v>
      </c>
      <c r="O495" t="str">
        <f t="shared" si="36"/>
        <v>High</v>
      </c>
      <c r="P495" t="str">
        <f t="shared" si="37"/>
        <v>Poor</v>
      </c>
      <c r="Q495">
        <f t="shared" si="38"/>
        <v>1</v>
      </c>
      <c r="R495" t="str">
        <f t="shared" si="39"/>
        <v>Average</v>
      </c>
      <c r="S495">
        <f>COUNTIF('Students Social Media Addiction'!O:O,"High")/COUNTA(Table1[Student_ID])</f>
        <v>0.5787234042553191</v>
      </c>
      <c r="T495">
        <f>AVERAGE(Table1[Academic Impact Flag])</f>
        <v>0.64255319148936174</v>
      </c>
      <c r="U495">
        <f>AVERAGE(Table1[Sleep_Hours_Per_Night])</f>
        <v>6.868936170212768</v>
      </c>
      <c r="V495">
        <f>AVERAGE(Table1[Mental_Health_Score])</f>
        <v>6.2269503546099294</v>
      </c>
    </row>
    <row r="496" spans="1:22" x14ac:dyDescent="0.3">
      <c r="A496">
        <v>495</v>
      </c>
      <c r="B496">
        <v>20</v>
      </c>
      <c r="C496" t="s">
        <v>12</v>
      </c>
      <c r="D496" t="s">
        <v>13</v>
      </c>
      <c r="E496" t="s">
        <v>50</v>
      </c>
      <c r="F496">
        <v>2.2000000000000002</v>
      </c>
      <c r="G496" t="s">
        <v>15</v>
      </c>
      <c r="H496" t="s">
        <v>22</v>
      </c>
      <c r="I496">
        <v>9.6</v>
      </c>
      <c r="J496">
        <v>8</v>
      </c>
      <c r="K496" t="s">
        <v>23</v>
      </c>
      <c r="L496">
        <v>4</v>
      </c>
      <c r="M496" t="str">
        <f>IF(Table1[[#This Row],[Age]]&lt;=18,"Teen",IF(Table1[[#This Row],[Age]]&lt;=21,"Young Adult","Adult"))</f>
        <v>Young Adult</v>
      </c>
      <c r="N496" t="str">
        <f t="shared" si="35"/>
        <v>Moderate</v>
      </c>
      <c r="O496" t="str">
        <f t="shared" si="36"/>
        <v>Medium</v>
      </c>
      <c r="P496" t="str">
        <f t="shared" si="37"/>
        <v>Healthy</v>
      </c>
      <c r="Q496">
        <f t="shared" si="38"/>
        <v>0</v>
      </c>
      <c r="R496" t="str">
        <f t="shared" si="39"/>
        <v>Good</v>
      </c>
      <c r="S496">
        <f>COUNTIF('Students Social Media Addiction'!O:O,"High")/COUNTA(Table1[Student_ID])</f>
        <v>0.5787234042553191</v>
      </c>
      <c r="T496">
        <f>AVERAGE(Table1[Academic Impact Flag])</f>
        <v>0.64255319148936174</v>
      </c>
      <c r="U496">
        <f>AVERAGE(Table1[Sleep_Hours_Per_Night])</f>
        <v>6.868936170212768</v>
      </c>
      <c r="V496">
        <f>AVERAGE(Table1[Mental_Health_Score])</f>
        <v>6.2269503546099294</v>
      </c>
    </row>
    <row r="497" spans="1:22" x14ac:dyDescent="0.3">
      <c r="A497">
        <v>496</v>
      </c>
      <c r="B497">
        <v>22</v>
      </c>
      <c r="C497" t="s">
        <v>18</v>
      </c>
      <c r="D497" t="s">
        <v>19</v>
      </c>
      <c r="E497" t="s">
        <v>64</v>
      </c>
      <c r="F497">
        <v>3.8</v>
      </c>
      <c r="G497" t="s">
        <v>25</v>
      </c>
      <c r="H497" t="s">
        <v>16</v>
      </c>
      <c r="I497">
        <v>8.4</v>
      </c>
      <c r="J497">
        <v>6</v>
      </c>
      <c r="K497" t="s">
        <v>23</v>
      </c>
      <c r="L497">
        <v>7</v>
      </c>
      <c r="M497" t="str">
        <f>IF(Table1[[#This Row],[Age]]&lt;=18,"Teen",IF(Table1[[#This Row],[Age]]&lt;=21,"Young Adult","Adult"))</f>
        <v>Adult</v>
      </c>
      <c r="N497" t="str">
        <f t="shared" si="35"/>
        <v>Moderate</v>
      </c>
      <c r="O497" t="str">
        <f t="shared" si="36"/>
        <v>High</v>
      </c>
      <c r="P497" t="str">
        <f t="shared" si="37"/>
        <v>Healthy</v>
      </c>
      <c r="Q497">
        <f t="shared" si="38"/>
        <v>1</v>
      </c>
      <c r="R497" t="str">
        <f t="shared" si="39"/>
        <v>Average</v>
      </c>
      <c r="S497">
        <f>COUNTIF('Students Social Media Addiction'!O:O,"High")/COUNTA(Table1[Student_ID])</f>
        <v>0.5787234042553191</v>
      </c>
      <c r="T497">
        <f>AVERAGE(Table1[Academic Impact Flag])</f>
        <v>0.64255319148936174</v>
      </c>
      <c r="U497">
        <f>AVERAGE(Table1[Sleep_Hours_Per_Night])</f>
        <v>6.868936170212768</v>
      </c>
      <c r="V497">
        <f>AVERAGE(Table1[Mental_Health_Score])</f>
        <v>6.2269503546099294</v>
      </c>
    </row>
    <row r="498" spans="1:22" x14ac:dyDescent="0.3">
      <c r="A498">
        <v>497</v>
      </c>
      <c r="B498">
        <v>19</v>
      </c>
      <c r="C498" t="s">
        <v>12</v>
      </c>
      <c r="D498" t="s">
        <v>13</v>
      </c>
      <c r="E498" t="s">
        <v>24</v>
      </c>
      <c r="F498">
        <v>8.5</v>
      </c>
      <c r="G498" t="s">
        <v>15</v>
      </c>
      <c r="H498" t="s">
        <v>16</v>
      </c>
      <c r="I498">
        <v>3.8</v>
      </c>
      <c r="J498">
        <v>5</v>
      </c>
      <c r="K498" t="s">
        <v>17</v>
      </c>
      <c r="L498">
        <v>9</v>
      </c>
      <c r="M498" t="str">
        <f>IF(Table1[[#This Row],[Age]]&lt;=18,"Teen",IF(Table1[[#This Row],[Age]]&lt;=21,"Young Adult","Adult"))</f>
        <v>Young Adult</v>
      </c>
      <c r="N498" t="str">
        <f t="shared" si="35"/>
        <v>Very High</v>
      </c>
      <c r="O498" t="str">
        <f t="shared" si="36"/>
        <v>High</v>
      </c>
      <c r="P498" t="str">
        <f t="shared" si="37"/>
        <v>Poor</v>
      </c>
      <c r="Q498">
        <f t="shared" si="38"/>
        <v>1</v>
      </c>
      <c r="R498" t="str">
        <f t="shared" si="39"/>
        <v>Average</v>
      </c>
      <c r="S498">
        <f>COUNTIF('Students Social Media Addiction'!O:O,"High")/COUNTA(Table1[Student_ID])</f>
        <v>0.5787234042553191</v>
      </c>
      <c r="T498">
        <f>AVERAGE(Table1[Academic Impact Flag])</f>
        <v>0.64255319148936174</v>
      </c>
      <c r="U498">
        <f>AVERAGE(Table1[Sleep_Hours_Per_Night])</f>
        <v>6.868936170212768</v>
      </c>
      <c r="V498">
        <f>AVERAGE(Table1[Mental_Health_Score])</f>
        <v>6.2269503546099294</v>
      </c>
    </row>
    <row r="499" spans="1:22" x14ac:dyDescent="0.3">
      <c r="A499">
        <v>498</v>
      </c>
      <c r="B499">
        <v>21</v>
      </c>
      <c r="C499" t="s">
        <v>18</v>
      </c>
      <c r="D499" t="s">
        <v>19</v>
      </c>
      <c r="E499" t="s">
        <v>42</v>
      </c>
      <c r="F499">
        <v>7.3</v>
      </c>
      <c r="G499" t="s">
        <v>142</v>
      </c>
      <c r="H499" t="s">
        <v>16</v>
      </c>
      <c r="I499">
        <v>4.9000000000000004</v>
      </c>
      <c r="J499">
        <v>6</v>
      </c>
      <c r="K499" t="s">
        <v>23</v>
      </c>
      <c r="L499">
        <v>7</v>
      </c>
      <c r="M499" t="str">
        <f>IF(Table1[[#This Row],[Age]]&lt;=18,"Teen",IF(Table1[[#This Row],[Age]]&lt;=21,"Young Adult","Adult"))</f>
        <v>Young Adult</v>
      </c>
      <c r="N499" t="str">
        <f t="shared" si="35"/>
        <v>Very High</v>
      </c>
      <c r="O499" t="str">
        <f t="shared" si="36"/>
        <v>High</v>
      </c>
      <c r="P499" t="str">
        <f t="shared" si="37"/>
        <v>Poor</v>
      </c>
      <c r="Q499">
        <f t="shared" si="38"/>
        <v>1</v>
      </c>
      <c r="R499" t="str">
        <f t="shared" si="39"/>
        <v>Average</v>
      </c>
      <c r="S499">
        <f>COUNTIF('Students Social Media Addiction'!O:O,"High")/COUNTA(Table1[Student_ID])</f>
        <v>0.5787234042553191</v>
      </c>
      <c r="T499">
        <f>AVERAGE(Table1[Academic Impact Flag])</f>
        <v>0.64255319148936174</v>
      </c>
      <c r="U499">
        <f>AVERAGE(Table1[Sleep_Hours_Per_Night])</f>
        <v>6.868936170212768</v>
      </c>
      <c r="V499">
        <f>AVERAGE(Table1[Mental_Health_Score])</f>
        <v>6.2269503546099294</v>
      </c>
    </row>
    <row r="500" spans="1:22" x14ac:dyDescent="0.3">
      <c r="A500">
        <v>499</v>
      </c>
      <c r="B500">
        <v>20</v>
      </c>
      <c r="C500" t="s">
        <v>12</v>
      </c>
      <c r="D500" t="s">
        <v>13</v>
      </c>
      <c r="E500" t="s">
        <v>39</v>
      </c>
      <c r="F500">
        <v>2.8</v>
      </c>
      <c r="G500" t="s">
        <v>15</v>
      </c>
      <c r="H500" t="s">
        <v>22</v>
      </c>
      <c r="I500">
        <v>9.1999999999999993</v>
      </c>
      <c r="J500">
        <v>7</v>
      </c>
      <c r="K500" t="s">
        <v>17</v>
      </c>
      <c r="L500">
        <v>5</v>
      </c>
      <c r="M500" t="str">
        <f>IF(Table1[[#This Row],[Age]]&lt;=18,"Teen",IF(Table1[[#This Row],[Age]]&lt;=21,"Young Adult","Adult"))</f>
        <v>Young Adult</v>
      </c>
      <c r="N500" t="str">
        <f t="shared" si="35"/>
        <v>Moderate</v>
      </c>
      <c r="O500" t="str">
        <f t="shared" si="36"/>
        <v>Medium</v>
      </c>
      <c r="P500" t="str">
        <f t="shared" si="37"/>
        <v>Healthy</v>
      </c>
      <c r="Q500">
        <f t="shared" si="38"/>
        <v>0</v>
      </c>
      <c r="R500" t="str">
        <f t="shared" si="39"/>
        <v>Good</v>
      </c>
      <c r="S500">
        <f>COUNTIF('Students Social Media Addiction'!O:O,"High")/COUNTA(Table1[Student_ID])</f>
        <v>0.5787234042553191</v>
      </c>
      <c r="T500">
        <f>AVERAGE(Table1[Academic Impact Flag])</f>
        <v>0.64255319148936174</v>
      </c>
      <c r="U500">
        <f>AVERAGE(Table1[Sleep_Hours_Per_Night])</f>
        <v>6.868936170212768</v>
      </c>
      <c r="V500">
        <f>AVERAGE(Table1[Mental_Health_Score])</f>
        <v>6.2269503546099294</v>
      </c>
    </row>
    <row r="501" spans="1:22" x14ac:dyDescent="0.3">
      <c r="A501">
        <v>500</v>
      </c>
      <c r="B501">
        <v>22</v>
      </c>
      <c r="C501" t="s">
        <v>18</v>
      </c>
      <c r="D501" t="s">
        <v>19</v>
      </c>
      <c r="E501" t="s">
        <v>30</v>
      </c>
      <c r="F501">
        <v>3.6</v>
      </c>
      <c r="G501" t="s">
        <v>25</v>
      </c>
      <c r="H501" t="s">
        <v>16</v>
      </c>
      <c r="I501">
        <v>8.6</v>
      </c>
      <c r="J501">
        <v>6</v>
      </c>
      <c r="K501" t="s">
        <v>23</v>
      </c>
      <c r="L501">
        <v>7</v>
      </c>
      <c r="M501" t="str">
        <f>IF(Table1[[#This Row],[Age]]&lt;=18,"Teen",IF(Table1[[#This Row],[Age]]&lt;=21,"Young Adult","Adult"))</f>
        <v>Adult</v>
      </c>
      <c r="N501" t="str">
        <f t="shared" si="35"/>
        <v>Moderate</v>
      </c>
      <c r="O501" t="str">
        <f t="shared" si="36"/>
        <v>High</v>
      </c>
      <c r="P501" t="str">
        <f t="shared" si="37"/>
        <v>Healthy</v>
      </c>
      <c r="Q501">
        <f t="shared" si="38"/>
        <v>1</v>
      </c>
      <c r="R501" t="str">
        <f t="shared" si="39"/>
        <v>Average</v>
      </c>
      <c r="S501">
        <f>COUNTIF('Students Social Media Addiction'!O:O,"High")/COUNTA(Table1[Student_ID])</f>
        <v>0.5787234042553191</v>
      </c>
      <c r="T501">
        <f>AVERAGE(Table1[Academic Impact Flag])</f>
        <v>0.64255319148936174</v>
      </c>
      <c r="U501">
        <f>AVERAGE(Table1[Sleep_Hours_Per_Night])</f>
        <v>6.868936170212768</v>
      </c>
      <c r="V501">
        <f>AVERAGE(Table1[Mental_Health_Score])</f>
        <v>6.2269503546099294</v>
      </c>
    </row>
    <row r="502" spans="1:22" x14ac:dyDescent="0.3">
      <c r="A502">
        <v>501</v>
      </c>
      <c r="B502">
        <v>19</v>
      </c>
      <c r="C502" t="s">
        <v>12</v>
      </c>
      <c r="D502" t="s">
        <v>13</v>
      </c>
      <c r="E502" t="s">
        <v>35</v>
      </c>
      <c r="F502">
        <v>6.2</v>
      </c>
      <c r="G502" t="s">
        <v>142</v>
      </c>
      <c r="H502" t="s">
        <v>16</v>
      </c>
      <c r="I502">
        <v>6.3</v>
      </c>
      <c r="J502">
        <v>6</v>
      </c>
      <c r="K502" t="s">
        <v>23</v>
      </c>
      <c r="L502">
        <v>7</v>
      </c>
      <c r="M502" t="str">
        <f>IF(Table1[[#This Row],[Age]]&lt;=18,"Teen",IF(Table1[[#This Row],[Age]]&lt;=21,"Young Adult","Adult"))</f>
        <v>Young Adult</v>
      </c>
      <c r="N502" t="str">
        <f t="shared" si="35"/>
        <v>Very High</v>
      </c>
      <c r="O502" t="str">
        <f t="shared" si="36"/>
        <v>High</v>
      </c>
      <c r="P502" t="str">
        <f t="shared" si="37"/>
        <v>Average</v>
      </c>
      <c r="Q502">
        <f t="shared" si="38"/>
        <v>1</v>
      </c>
      <c r="R502" t="str">
        <f t="shared" si="39"/>
        <v>Average</v>
      </c>
      <c r="S502">
        <f>COUNTIF('Students Social Media Addiction'!O:O,"High")/COUNTA(Table1[Student_ID])</f>
        <v>0.5787234042553191</v>
      </c>
      <c r="T502">
        <f>AVERAGE(Table1[Academic Impact Flag])</f>
        <v>0.64255319148936174</v>
      </c>
      <c r="U502">
        <f>AVERAGE(Table1[Sleep_Hours_Per_Night])</f>
        <v>6.868936170212768</v>
      </c>
      <c r="V502">
        <f>AVERAGE(Table1[Mental_Health_Score])</f>
        <v>6.2269503546099294</v>
      </c>
    </row>
    <row r="503" spans="1:22" x14ac:dyDescent="0.3">
      <c r="A503">
        <v>502</v>
      </c>
      <c r="B503">
        <v>21</v>
      </c>
      <c r="C503" t="s">
        <v>18</v>
      </c>
      <c r="D503" t="s">
        <v>19</v>
      </c>
      <c r="E503" t="s">
        <v>44</v>
      </c>
      <c r="F503">
        <v>4.5</v>
      </c>
      <c r="G503" t="s">
        <v>143</v>
      </c>
      <c r="H503" t="s">
        <v>22</v>
      </c>
      <c r="I503">
        <v>7.8</v>
      </c>
      <c r="J503">
        <v>7</v>
      </c>
      <c r="K503" t="s">
        <v>17</v>
      </c>
      <c r="L503">
        <v>5</v>
      </c>
      <c r="M503" t="str">
        <f>IF(Table1[[#This Row],[Age]]&lt;=18,"Teen",IF(Table1[[#This Row],[Age]]&lt;=21,"Young Adult","Adult"))</f>
        <v>Young Adult</v>
      </c>
      <c r="N503" t="str">
        <f t="shared" si="35"/>
        <v>High</v>
      </c>
      <c r="O503" t="str">
        <f t="shared" si="36"/>
        <v>Medium</v>
      </c>
      <c r="P503" t="str">
        <f t="shared" si="37"/>
        <v>Healthy</v>
      </c>
      <c r="Q503">
        <f t="shared" si="38"/>
        <v>0</v>
      </c>
      <c r="R503" t="str">
        <f t="shared" si="39"/>
        <v>Good</v>
      </c>
      <c r="S503">
        <f>COUNTIF('Students Social Media Addiction'!O:O,"High")/COUNTA(Table1[Student_ID])</f>
        <v>0.5787234042553191</v>
      </c>
      <c r="T503">
        <f>AVERAGE(Table1[Academic Impact Flag])</f>
        <v>0.64255319148936174</v>
      </c>
      <c r="U503">
        <f>AVERAGE(Table1[Sleep_Hours_Per_Night])</f>
        <v>6.868936170212768</v>
      </c>
      <c r="V503">
        <f>AVERAGE(Table1[Mental_Health_Score])</f>
        <v>6.2269503546099294</v>
      </c>
    </row>
    <row r="504" spans="1:22" x14ac:dyDescent="0.3">
      <c r="A504">
        <v>503</v>
      </c>
      <c r="B504">
        <v>20</v>
      </c>
      <c r="C504" t="s">
        <v>12</v>
      </c>
      <c r="D504" t="s">
        <v>13</v>
      </c>
      <c r="E504" t="s">
        <v>48</v>
      </c>
      <c r="F504">
        <v>3.8</v>
      </c>
      <c r="G504" t="s">
        <v>15</v>
      </c>
      <c r="H504" t="s">
        <v>22</v>
      </c>
      <c r="I504">
        <v>8.1999999999999993</v>
      </c>
      <c r="J504">
        <v>8</v>
      </c>
      <c r="K504" t="s">
        <v>23</v>
      </c>
      <c r="L504">
        <v>4</v>
      </c>
      <c r="M504" t="str">
        <f>IF(Table1[[#This Row],[Age]]&lt;=18,"Teen",IF(Table1[[#This Row],[Age]]&lt;=21,"Young Adult","Adult"))</f>
        <v>Young Adult</v>
      </c>
      <c r="N504" t="str">
        <f t="shared" si="35"/>
        <v>Moderate</v>
      </c>
      <c r="O504" t="str">
        <f t="shared" si="36"/>
        <v>Medium</v>
      </c>
      <c r="P504" t="str">
        <f t="shared" si="37"/>
        <v>Healthy</v>
      </c>
      <c r="Q504">
        <f t="shared" si="38"/>
        <v>0</v>
      </c>
      <c r="R504" t="str">
        <f t="shared" si="39"/>
        <v>Good</v>
      </c>
      <c r="S504">
        <f>COUNTIF('Students Social Media Addiction'!O:O,"High")/COUNTA(Table1[Student_ID])</f>
        <v>0.5787234042553191</v>
      </c>
      <c r="T504">
        <f>AVERAGE(Table1[Academic Impact Flag])</f>
        <v>0.64255319148936174</v>
      </c>
      <c r="U504">
        <f>AVERAGE(Table1[Sleep_Hours_Per_Night])</f>
        <v>6.868936170212768</v>
      </c>
      <c r="V504">
        <f>AVERAGE(Table1[Mental_Health_Score])</f>
        <v>6.2269503546099294</v>
      </c>
    </row>
    <row r="505" spans="1:22" x14ac:dyDescent="0.3">
      <c r="A505">
        <v>504</v>
      </c>
      <c r="B505">
        <v>22</v>
      </c>
      <c r="C505" t="s">
        <v>18</v>
      </c>
      <c r="D505" t="s">
        <v>19</v>
      </c>
      <c r="E505" t="s">
        <v>55</v>
      </c>
      <c r="F505">
        <v>4.7</v>
      </c>
      <c r="G505" t="s">
        <v>15</v>
      </c>
      <c r="H505" t="s">
        <v>16</v>
      </c>
      <c r="I505">
        <v>7.5</v>
      </c>
      <c r="J505">
        <v>7</v>
      </c>
      <c r="K505" t="s">
        <v>17</v>
      </c>
      <c r="L505">
        <v>6</v>
      </c>
      <c r="M505" t="str">
        <f>IF(Table1[[#This Row],[Age]]&lt;=18,"Teen",IF(Table1[[#This Row],[Age]]&lt;=21,"Young Adult","Adult"))</f>
        <v>Adult</v>
      </c>
      <c r="N505" t="str">
        <f t="shared" si="35"/>
        <v>High</v>
      </c>
      <c r="O505" t="str">
        <f t="shared" si="36"/>
        <v>Medium</v>
      </c>
      <c r="P505" t="str">
        <f t="shared" si="37"/>
        <v>Healthy</v>
      </c>
      <c r="Q505">
        <f t="shared" si="38"/>
        <v>1</v>
      </c>
      <c r="R505" t="str">
        <f t="shared" si="39"/>
        <v>Good</v>
      </c>
      <c r="S505">
        <f>COUNTIF('Students Social Media Addiction'!O:O,"High")/COUNTA(Table1[Student_ID])</f>
        <v>0.5787234042553191</v>
      </c>
      <c r="T505">
        <f>AVERAGE(Table1[Academic Impact Flag])</f>
        <v>0.64255319148936174</v>
      </c>
      <c r="U505">
        <f>AVERAGE(Table1[Sleep_Hours_Per_Night])</f>
        <v>6.868936170212768</v>
      </c>
      <c r="V505">
        <f>AVERAGE(Table1[Mental_Health_Score])</f>
        <v>6.2269503546099294</v>
      </c>
    </row>
    <row r="506" spans="1:22" x14ac:dyDescent="0.3">
      <c r="A506">
        <v>505</v>
      </c>
      <c r="B506">
        <v>19</v>
      </c>
      <c r="C506" t="s">
        <v>12</v>
      </c>
      <c r="D506" t="s">
        <v>13</v>
      </c>
      <c r="E506" t="s">
        <v>56</v>
      </c>
      <c r="F506">
        <v>5.0999999999999996</v>
      </c>
      <c r="G506" t="s">
        <v>25</v>
      </c>
      <c r="H506" t="s">
        <v>16</v>
      </c>
      <c r="I506">
        <v>7</v>
      </c>
      <c r="J506">
        <v>6</v>
      </c>
      <c r="K506" t="s">
        <v>23</v>
      </c>
      <c r="L506">
        <v>7</v>
      </c>
      <c r="M506" t="str">
        <f>IF(Table1[[#This Row],[Age]]&lt;=18,"Teen",IF(Table1[[#This Row],[Age]]&lt;=21,"Young Adult","Adult"))</f>
        <v>Young Adult</v>
      </c>
      <c r="N506" t="str">
        <f t="shared" si="35"/>
        <v>High</v>
      </c>
      <c r="O506" t="str">
        <f t="shared" si="36"/>
        <v>High</v>
      </c>
      <c r="P506" t="str">
        <f t="shared" si="37"/>
        <v>Average</v>
      </c>
      <c r="Q506">
        <f t="shared" si="38"/>
        <v>1</v>
      </c>
      <c r="R506" t="str">
        <f t="shared" si="39"/>
        <v>Average</v>
      </c>
      <c r="S506">
        <f>COUNTIF('Students Social Media Addiction'!O:O,"High")/COUNTA(Table1[Student_ID])</f>
        <v>0.5787234042553191</v>
      </c>
      <c r="T506">
        <f>AVERAGE(Table1[Academic Impact Flag])</f>
        <v>0.64255319148936174</v>
      </c>
      <c r="U506">
        <f>AVERAGE(Table1[Sleep_Hours_Per_Night])</f>
        <v>6.868936170212768</v>
      </c>
      <c r="V506">
        <f>AVERAGE(Table1[Mental_Health_Score])</f>
        <v>6.2269503546099294</v>
      </c>
    </row>
    <row r="507" spans="1:22" x14ac:dyDescent="0.3">
      <c r="A507">
        <v>506</v>
      </c>
      <c r="B507">
        <v>21</v>
      </c>
      <c r="C507" t="s">
        <v>18</v>
      </c>
      <c r="D507" t="s">
        <v>19</v>
      </c>
      <c r="E507" t="s">
        <v>57</v>
      </c>
      <c r="F507">
        <v>5.5</v>
      </c>
      <c r="G507" t="s">
        <v>142</v>
      </c>
      <c r="H507" t="s">
        <v>16</v>
      </c>
      <c r="I507">
        <v>6.8</v>
      </c>
      <c r="J507">
        <v>6</v>
      </c>
      <c r="K507" t="s">
        <v>23</v>
      </c>
      <c r="L507">
        <v>7</v>
      </c>
      <c r="M507" t="str">
        <f>IF(Table1[[#This Row],[Age]]&lt;=18,"Teen",IF(Table1[[#This Row],[Age]]&lt;=21,"Young Adult","Adult"))</f>
        <v>Young Adult</v>
      </c>
      <c r="N507" t="str">
        <f t="shared" si="35"/>
        <v>High</v>
      </c>
      <c r="O507" t="str">
        <f t="shared" si="36"/>
        <v>High</v>
      </c>
      <c r="P507" t="str">
        <f t="shared" si="37"/>
        <v>Average</v>
      </c>
      <c r="Q507">
        <f t="shared" si="38"/>
        <v>1</v>
      </c>
      <c r="R507" t="str">
        <f t="shared" si="39"/>
        <v>Average</v>
      </c>
      <c r="S507">
        <f>COUNTIF('Students Social Media Addiction'!O:O,"High")/COUNTA(Table1[Student_ID])</f>
        <v>0.5787234042553191</v>
      </c>
      <c r="T507">
        <f>AVERAGE(Table1[Academic Impact Flag])</f>
        <v>0.64255319148936174</v>
      </c>
      <c r="U507">
        <f>AVERAGE(Table1[Sleep_Hours_Per_Night])</f>
        <v>6.868936170212768</v>
      </c>
      <c r="V507">
        <f>AVERAGE(Table1[Mental_Health_Score])</f>
        <v>6.2269503546099294</v>
      </c>
    </row>
    <row r="508" spans="1:22" x14ac:dyDescent="0.3">
      <c r="A508">
        <v>507</v>
      </c>
      <c r="B508">
        <v>20</v>
      </c>
      <c r="C508" t="s">
        <v>12</v>
      </c>
      <c r="D508" t="s">
        <v>13</v>
      </c>
      <c r="E508" t="s">
        <v>66</v>
      </c>
      <c r="F508">
        <v>6.5</v>
      </c>
      <c r="G508" t="s">
        <v>15</v>
      </c>
      <c r="H508" t="s">
        <v>16</v>
      </c>
      <c r="I508">
        <v>6.5</v>
      </c>
      <c r="J508">
        <v>5</v>
      </c>
      <c r="K508" t="s">
        <v>17</v>
      </c>
      <c r="L508">
        <v>8</v>
      </c>
      <c r="M508" t="str">
        <f>IF(Table1[[#This Row],[Age]]&lt;=18,"Teen",IF(Table1[[#This Row],[Age]]&lt;=21,"Young Adult","Adult"))</f>
        <v>Young Adult</v>
      </c>
      <c r="N508" t="str">
        <f t="shared" si="35"/>
        <v>Very High</v>
      </c>
      <c r="O508" t="str">
        <f t="shared" si="36"/>
        <v>High</v>
      </c>
      <c r="P508" t="str">
        <f t="shared" si="37"/>
        <v>Average</v>
      </c>
      <c r="Q508">
        <f t="shared" si="38"/>
        <v>1</v>
      </c>
      <c r="R508" t="str">
        <f t="shared" si="39"/>
        <v>Average</v>
      </c>
      <c r="S508">
        <f>COUNTIF('Students Social Media Addiction'!O:O,"High")/COUNTA(Table1[Student_ID])</f>
        <v>0.5787234042553191</v>
      </c>
      <c r="T508">
        <f>AVERAGE(Table1[Academic Impact Flag])</f>
        <v>0.64255319148936174</v>
      </c>
      <c r="U508">
        <f>AVERAGE(Table1[Sleep_Hours_Per_Night])</f>
        <v>6.868936170212768</v>
      </c>
      <c r="V508">
        <f>AVERAGE(Table1[Mental_Health_Score])</f>
        <v>6.2269503546099294</v>
      </c>
    </row>
    <row r="509" spans="1:22" x14ac:dyDescent="0.3">
      <c r="A509">
        <v>508</v>
      </c>
      <c r="B509">
        <v>22</v>
      </c>
      <c r="C509" t="s">
        <v>18</v>
      </c>
      <c r="D509" t="s">
        <v>19</v>
      </c>
      <c r="E509" t="s">
        <v>89</v>
      </c>
      <c r="F509">
        <v>4.2</v>
      </c>
      <c r="G509" t="s">
        <v>31</v>
      </c>
      <c r="H509" t="s">
        <v>22</v>
      </c>
      <c r="I509">
        <v>7.9</v>
      </c>
      <c r="J509">
        <v>7</v>
      </c>
      <c r="K509" t="s">
        <v>23</v>
      </c>
      <c r="L509">
        <v>5</v>
      </c>
      <c r="M509" t="str">
        <f>IF(Table1[[#This Row],[Age]]&lt;=18,"Teen",IF(Table1[[#This Row],[Age]]&lt;=21,"Young Adult","Adult"))</f>
        <v>Adult</v>
      </c>
      <c r="N509" t="str">
        <f t="shared" si="35"/>
        <v>High</v>
      </c>
      <c r="O509" t="str">
        <f t="shared" si="36"/>
        <v>Medium</v>
      </c>
      <c r="P509" t="str">
        <f t="shared" si="37"/>
        <v>Healthy</v>
      </c>
      <c r="Q509">
        <f t="shared" si="38"/>
        <v>0</v>
      </c>
      <c r="R509" t="str">
        <f t="shared" si="39"/>
        <v>Good</v>
      </c>
      <c r="S509">
        <f>COUNTIF('Students Social Media Addiction'!O:O,"High")/COUNTA(Table1[Student_ID])</f>
        <v>0.5787234042553191</v>
      </c>
      <c r="T509">
        <f>AVERAGE(Table1[Academic Impact Flag])</f>
        <v>0.64255319148936174</v>
      </c>
      <c r="U509">
        <f>AVERAGE(Table1[Sleep_Hours_Per_Night])</f>
        <v>6.868936170212768</v>
      </c>
      <c r="V509">
        <f>AVERAGE(Table1[Mental_Health_Score])</f>
        <v>6.2269503546099294</v>
      </c>
    </row>
    <row r="510" spans="1:22" x14ac:dyDescent="0.3">
      <c r="A510">
        <v>509</v>
      </c>
      <c r="B510">
        <v>19</v>
      </c>
      <c r="C510" t="s">
        <v>12</v>
      </c>
      <c r="D510" t="s">
        <v>13</v>
      </c>
      <c r="E510" t="s">
        <v>20</v>
      </c>
      <c r="F510">
        <v>6.8</v>
      </c>
      <c r="G510" t="s">
        <v>142</v>
      </c>
      <c r="H510" t="s">
        <v>16</v>
      </c>
      <c r="I510">
        <v>6</v>
      </c>
      <c r="J510">
        <v>5</v>
      </c>
      <c r="K510" t="s">
        <v>17</v>
      </c>
      <c r="L510">
        <v>8</v>
      </c>
      <c r="M510" t="str">
        <f>IF(Table1[[#This Row],[Age]]&lt;=18,"Teen",IF(Table1[[#This Row],[Age]]&lt;=21,"Young Adult","Adult"))</f>
        <v>Young Adult</v>
      </c>
      <c r="N510" t="str">
        <f t="shared" si="35"/>
        <v>Very High</v>
      </c>
      <c r="O510" t="str">
        <f t="shared" si="36"/>
        <v>High</v>
      </c>
      <c r="P510" t="str">
        <f t="shared" si="37"/>
        <v>Average</v>
      </c>
      <c r="Q510">
        <f t="shared" si="38"/>
        <v>1</v>
      </c>
      <c r="R510" t="str">
        <f t="shared" si="39"/>
        <v>Average</v>
      </c>
      <c r="S510">
        <f>COUNTIF('Students Social Media Addiction'!O:O,"High")/COUNTA(Table1[Student_ID])</f>
        <v>0.5787234042553191</v>
      </c>
      <c r="T510">
        <f>AVERAGE(Table1[Academic Impact Flag])</f>
        <v>0.64255319148936174</v>
      </c>
      <c r="U510">
        <f>AVERAGE(Table1[Sleep_Hours_Per_Night])</f>
        <v>6.868936170212768</v>
      </c>
      <c r="V510">
        <f>AVERAGE(Table1[Mental_Health_Score])</f>
        <v>6.2269503546099294</v>
      </c>
    </row>
    <row r="511" spans="1:22" x14ac:dyDescent="0.3">
      <c r="A511">
        <v>510</v>
      </c>
      <c r="B511">
        <v>21</v>
      </c>
      <c r="C511" t="s">
        <v>18</v>
      </c>
      <c r="D511" t="s">
        <v>19</v>
      </c>
      <c r="E511" t="s">
        <v>30</v>
      </c>
      <c r="F511">
        <v>4.8</v>
      </c>
      <c r="G511" t="s">
        <v>15</v>
      </c>
      <c r="H511" t="s">
        <v>16</v>
      </c>
      <c r="I511">
        <v>7.4</v>
      </c>
      <c r="J511">
        <v>7</v>
      </c>
      <c r="K511" t="s">
        <v>23</v>
      </c>
      <c r="L511">
        <v>6</v>
      </c>
      <c r="M511" t="str">
        <f>IF(Table1[[#This Row],[Age]]&lt;=18,"Teen",IF(Table1[[#This Row],[Age]]&lt;=21,"Young Adult","Adult"))</f>
        <v>Young Adult</v>
      </c>
      <c r="N511" t="str">
        <f t="shared" si="35"/>
        <v>High</v>
      </c>
      <c r="O511" t="str">
        <f t="shared" si="36"/>
        <v>Medium</v>
      </c>
      <c r="P511" t="str">
        <f t="shared" si="37"/>
        <v>Healthy</v>
      </c>
      <c r="Q511">
        <f t="shared" si="38"/>
        <v>1</v>
      </c>
      <c r="R511" t="str">
        <f t="shared" si="39"/>
        <v>Good</v>
      </c>
      <c r="S511">
        <f>COUNTIF('Students Social Media Addiction'!O:O,"High")/COUNTA(Table1[Student_ID])</f>
        <v>0.5787234042553191</v>
      </c>
      <c r="T511">
        <f>AVERAGE(Table1[Academic Impact Flag])</f>
        <v>0.64255319148936174</v>
      </c>
      <c r="U511">
        <f>AVERAGE(Table1[Sleep_Hours_Per_Night])</f>
        <v>6.868936170212768</v>
      </c>
      <c r="V511">
        <f>AVERAGE(Table1[Mental_Health_Score])</f>
        <v>6.2269503546099294</v>
      </c>
    </row>
    <row r="512" spans="1:22" x14ac:dyDescent="0.3">
      <c r="A512">
        <v>511</v>
      </c>
      <c r="B512">
        <v>20</v>
      </c>
      <c r="C512" t="s">
        <v>12</v>
      </c>
      <c r="D512" t="s">
        <v>13</v>
      </c>
      <c r="E512" t="s">
        <v>35</v>
      </c>
      <c r="F512">
        <v>6.1</v>
      </c>
      <c r="G512" t="s">
        <v>15</v>
      </c>
      <c r="H512" t="s">
        <v>16</v>
      </c>
      <c r="I512">
        <v>6.4</v>
      </c>
      <c r="J512">
        <v>6</v>
      </c>
      <c r="K512" t="s">
        <v>23</v>
      </c>
      <c r="L512">
        <v>7</v>
      </c>
      <c r="M512" t="str">
        <f>IF(Table1[[#This Row],[Age]]&lt;=18,"Teen",IF(Table1[[#This Row],[Age]]&lt;=21,"Young Adult","Adult"))</f>
        <v>Young Adult</v>
      </c>
      <c r="N512" t="str">
        <f t="shared" si="35"/>
        <v>Very High</v>
      </c>
      <c r="O512" t="str">
        <f t="shared" si="36"/>
        <v>High</v>
      </c>
      <c r="P512" t="str">
        <f t="shared" si="37"/>
        <v>Average</v>
      </c>
      <c r="Q512">
        <f t="shared" si="38"/>
        <v>1</v>
      </c>
      <c r="R512" t="str">
        <f t="shared" si="39"/>
        <v>Average</v>
      </c>
      <c r="S512">
        <f>COUNTIF('Students Social Media Addiction'!O:O,"High")/COUNTA(Table1[Student_ID])</f>
        <v>0.5787234042553191</v>
      </c>
      <c r="T512">
        <f>AVERAGE(Table1[Academic Impact Flag])</f>
        <v>0.64255319148936174</v>
      </c>
      <c r="U512">
        <f>AVERAGE(Table1[Sleep_Hours_Per_Night])</f>
        <v>6.868936170212768</v>
      </c>
      <c r="V512">
        <f>AVERAGE(Table1[Mental_Health_Score])</f>
        <v>6.2269503546099294</v>
      </c>
    </row>
    <row r="513" spans="1:22" x14ac:dyDescent="0.3">
      <c r="A513">
        <v>512</v>
      </c>
      <c r="B513">
        <v>22</v>
      </c>
      <c r="C513" t="s">
        <v>18</v>
      </c>
      <c r="D513" t="s">
        <v>19</v>
      </c>
      <c r="E513" t="s">
        <v>44</v>
      </c>
      <c r="F513">
        <v>4.4000000000000004</v>
      </c>
      <c r="G513" t="s">
        <v>143</v>
      </c>
      <c r="H513" t="s">
        <v>22</v>
      </c>
      <c r="I513">
        <v>7.9</v>
      </c>
      <c r="J513">
        <v>7</v>
      </c>
      <c r="K513" t="s">
        <v>17</v>
      </c>
      <c r="L513">
        <v>5</v>
      </c>
      <c r="M513" t="str">
        <f>IF(Table1[[#This Row],[Age]]&lt;=18,"Teen",IF(Table1[[#This Row],[Age]]&lt;=21,"Young Adult","Adult"))</f>
        <v>Adult</v>
      </c>
      <c r="N513" t="str">
        <f t="shared" si="35"/>
        <v>High</v>
      </c>
      <c r="O513" t="str">
        <f t="shared" si="36"/>
        <v>Medium</v>
      </c>
      <c r="P513" t="str">
        <f t="shared" si="37"/>
        <v>Healthy</v>
      </c>
      <c r="Q513">
        <f t="shared" si="38"/>
        <v>0</v>
      </c>
      <c r="R513" t="str">
        <f t="shared" si="39"/>
        <v>Good</v>
      </c>
      <c r="S513">
        <f>COUNTIF('Students Social Media Addiction'!O:O,"High")/COUNTA(Table1[Student_ID])</f>
        <v>0.5787234042553191</v>
      </c>
      <c r="T513">
        <f>AVERAGE(Table1[Academic Impact Flag])</f>
        <v>0.64255319148936174</v>
      </c>
      <c r="U513">
        <f>AVERAGE(Table1[Sleep_Hours_Per_Night])</f>
        <v>6.868936170212768</v>
      </c>
      <c r="V513">
        <f>AVERAGE(Table1[Mental_Health_Score])</f>
        <v>6.2269503546099294</v>
      </c>
    </row>
    <row r="514" spans="1:22" x14ac:dyDescent="0.3">
      <c r="A514">
        <v>513</v>
      </c>
      <c r="B514">
        <v>19</v>
      </c>
      <c r="C514" t="s">
        <v>12</v>
      </c>
      <c r="D514" t="s">
        <v>13</v>
      </c>
      <c r="E514" t="s">
        <v>48</v>
      </c>
      <c r="F514">
        <v>3.7</v>
      </c>
      <c r="G514" t="s">
        <v>25</v>
      </c>
      <c r="H514" t="s">
        <v>22</v>
      </c>
      <c r="I514">
        <v>8.3000000000000007</v>
      </c>
      <c r="J514">
        <v>8</v>
      </c>
      <c r="K514" t="s">
        <v>23</v>
      </c>
      <c r="L514">
        <v>4</v>
      </c>
      <c r="M514" t="str">
        <f>IF(Table1[[#This Row],[Age]]&lt;=18,"Teen",IF(Table1[[#This Row],[Age]]&lt;=21,"Young Adult","Adult"))</f>
        <v>Young Adult</v>
      </c>
      <c r="N514" t="str">
        <f t="shared" ref="N514:N577" si="40">IF(F514&lt;2,"Low",
IF(F514&lt;4,"Moderate",
IF(F514&lt;6,"High","Very High")))</f>
        <v>Moderate</v>
      </c>
      <c r="O514" t="str">
        <f t="shared" ref="O514:O577" si="41">IF(L514&lt;=3,"Low",
IF(L514&lt;=6,"Medium","High"))</f>
        <v>Medium</v>
      </c>
      <c r="P514" t="str">
        <f t="shared" ref="P514:P577" si="42">IF(I514&lt;6,"Poor",
IF(I514&lt;=7,"Average","Healthy"))</f>
        <v>Healthy</v>
      </c>
      <c r="Q514">
        <f t="shared" ref="Q514:Q577" si="43">IF(H514="Yes",1,0)</f>
        <v>0</v>
      </c>
      <c r="R514" t="str">
        <f t="shared" ref="R514:R577" si="44">IF(J514&lt;=4,"Poor",
IF(J514&lt;=6,"Average","Good"))</f>
        <v>Good</v>
      </c>
      <c r="S514">
        <f>COUNTIF('Students Social Media Addiction'!O:O,"High")/COUNTA(Table1[Student_ID])</f>
        <v>0.5787234042553191</v>
      </c>
      <c r="T514">
        <f>AVERAGE(Table1[Academic Impact Flag])</f>
        <v>0.64255319148936174</v>
      </c>
      <c r="U514">
        <f>AVERAGE(Table1[Sleep_Hours_Per_Night])</f>
        <v>6.868936170212768</v>
      </c>
      <c r="V514">
        <f>AVERAGE(Table1[Mental_Health_Score])</f>
        <v>6.2269503546099294</v>
      </c>
    </row>
    <row r="515" spans="1:22" x14ac:dyDescent="0.3">
      <c r="A515">
        <v>514</v>
      </c>
      <c r="B515">
        <v>21</v>
      </c>
      <c r="C515" t="s">
        <v>18</v>
      </c>
      <c r="D515" t="s">
        <v>19</v>
      </c>
      <c r="E515" t="s">
        <v>55</v>
      </c>
      <c r="F515">
        <v>4.5999999999999996</v>
      </c>
      <c r="G515" t="s">
        <v>15</v>
      </c>
      <c r="H515" t="s">
        <v>16</v>
      </c>
      <c r="I515">
        <v>7.6</v>
      </c>
      <c r="J515">
        <v>7</v>
      </c>
      <c r="K515" t="s">
        <v>17</v>
      </c>
      <c r="L515">
        <v>6</v>
      </c>
      <c r="M515" t="str">
        <f>IF(Table1[[#This Row],[Age]]&lt;=18,"Teen",IF(Table1[[#This Row],[Age]]&lt;=21,"Young Adult","Adult"))</f>
        <v>Young Adult</v>
      </c>
      <c r="N515" t="str">
        <f t="shared" si="40"/>
        <v>High</v>
      </c>
      <c r="O515" t="str">
        <f t="shared" si="41"/>
        <v>Medium</v>
      </c>
      <c r="P515" t="str">
        <f t="shared" si="42"/>
        <v>Healthy</v>
      </c>
      <c r="Q515">
        <f t="shared" si="43"/>
        <v>1</v>
      </c>
      <c r="R515" t="str">
        <f t="shared" si="44"/>
        <v>Good</v>
      </c>
      <c r="S515">
        <f>COUNTIF('Students Social Media Addiction'!O:O,"High")/COUNTA(Table1[Student_ID])</f>
        <v>0.5787234042553191</v>
      </c>
      <c r="T515">
        <f>AVERAGE(Table1[Academic Impact Flag])</f>
        <v>0.64255319148936174</v>
      </c>
      <c r="U515">
        <f>AVERAGE(Table1[Sleep_Hours_Per_Night])</f>
        <v>6.868936170212768</v>
      </c>
      <c r="V515">
        <f>AVERAGE(Table1[Mental_Health_Score])</f>
        <v>6.2269503546099294</v>
      </c>
    </row>
    <row r="516" spans="1:22" x14ac:dyDescent="0.3">
      <c r="A516">
        <v>515</v>
      </c>
      <c r="B516">
        <v>20</v>
      </c>
      <c r="C516" t="s">
        <v>12</v>
      </c>
      <c r="D516" t="s">
        <v>13</v>
      </c>
      <c r="E516" t="s">
        <v>56</v>
      </c>
      <c r="F516">
        <v>5.2</v>
      </c>
      <c r="G516" t="s">
        <v>25</v>
      </c>
      <c r="H516" t="s">
        <v>16</v>
      </c>
      <c r="I516">
        <v>6.9</v>
      </c>
      <c r="J516">
        <v>6</v>
      </c>
      <c r="K516" t="s">
        <v>23</v>
      </c>
      <c r="L516">
        <v>7</v>
      </c>
      <c r="M516" t="str">
        <f>IF(Table1[[#This Row],[Age]]&lt;=18,"Teen",IF(Table1[[#This Row],[Age]]&lt;=21,"Young Adult","Adult"))</f>
        <v>Young Adult</v>
      </c>
      <c r="N516" t="str">
        <f t="shared" si="40"/>
        <v>High</v>
      </c>
      <c r="O516" t="str">
        <f t="shared" si="41"/>
        <v>High</v>
      </c>
      <c r="P516" t="str">
        <f t="shared" si="42"/>
        <v>Average</v>
      </c>
      <c r="Q516">
        <f t="shared" si="43"/>
        <v>1</v>
      </c>
      <c r="R516" t="str">
        <f t="shared" si="44"/>
        <v>Average</v>
      </c>
      <c r="S516">
        <f>COUNTIF('Students Social Media Addiction'!O:O,"High")/COUNTA(Table1[Student_ID])</f>
        <v>0.5787234042553191</v>
      </c>
      <c r="T516">
        <f>AVERAGE(Table1[Academic Impact Flag])</f>
        <v>0.64255319148936174</v>
      </c>
      <c r="U516">
        <f>AVERAGE(Table1[Sleep_Hours_Per_Night])</f>
        <v>6.868936170212768</v>
      </c>
      <c r="V516">
        <f>AVERAGE(Table1[Mental_Health_Score])</f>
        <v>6.2269503546099294</v>
      </c>
    </row>
    <row r="517" spans="1:22" x14ac:dyDescent="0.3">
      <c r="A517">
        <v>516</v>
      </c>
      <c r="B517">
        <v>22</v>
      </c>
      <c r="C517" t="s">
        <v>18</v>
      </c>
      <c r="D517" t="s">
        <v>19</v>
      </c>
      <c r="E517" t="s">
        <v>57</v>
      </c>
      <c r="F517">
        <v>5.6</v>
      </c>
      <c r="G517" t="s">
        <v>142</v>
      </c>
      <c r="H517" t="s">
        <v>16</v>
      </c>
      <c r="I517">
        <v>6.7</v>
      </c>
      <c r="J517">
        <v>6</v>
      </c>
      <c r="K517" t="s">
        <v>23</v>
      </c>
      <c r="L517">
        <v>7</v>
      </c>
      <c r="M517" t="str">
        <f>IF(Table1[[#This Row],[Age]]&lt;=18,"Teen",IF(Table1[[#This Row],[Age]]&lt;=21,"Young Adult","Adult"))</f>
        <v>Adult</v>
      </c>
      <c r="N517" t="str">
        <f t="shared" si="40"/>
        <v>High</v>
      </c>
      <c r="O517" t="str">
        <f t="shared" si="41"/>
        <v>High</v>
      </c>
      <c r="P517" t="str">
        <f t="shared" si="42"/>
        <v>Average</v>
      </c>
      <c r="Q517">
        <f t="shared" si="43"/>
        <v>1</v>
      </c>
      <c r="R517" t="str">
        <f t="shared" si="44"/>
        <v>Average</v>
      </c>
      <c r="S517">
        <f>COUNTIF('Students Social Media Addiction'!O:O,"High")/COUNTA(Table1[Student_ID])</f>
        <v>0.5787234042553191</v>
      </c>
      <c r="T517">
        <f>AVERAGE(Table1[Academic Impact Flag])</f>
        <v>0.64255319148936174</v>
      </c>
      <c r="U517">
        <f>AVERAGE(Table1[Sleep_Hours_Per_Night])</f>
        <v>6.868936170212768</v>
      </c>
      <c r="V517">
        <f>AVERAGE(Table1[Mental_Health_Score])</f>
        <v>6.2269503546099294</v>
      </c>
    </row>
    <row r="518" spans="1:22" x14ac:dyDescent="0.3">
      <c r="A518">
        <v>517</v>
      </c>
      <c r="B518">
        <v>19</v>
      </c>
      <c r="C518" t="s">
        <v>12</v>
      </c>
      <c r="D518" t="s">
        <v>13</v>
      </c>
      <c r="E518" t="s">
        <v>66</v>
      </c>
      <c r="F518">
        <v>6.6</v>
      </c>
      <c r="G518" t="s">
        <v>15</v>
      </c>
      <c r="H518" t="s">
        <v>16</v>
      </c>
      <c r="I518">
        <v>6.4</v>
      </c>
      <c r="J518">
        <v>5</v>
      </c>
      <c r="K518" t="s">
        <v>17</v>
      </c>
      <c r="L518">
        <v>8</v>
      </c>
      <c r="M518" t="str">
        <f>IF(Table1[[#This Row],[Age]]&lt;=18,"Teen",IF(Table1[[#This Row],[Age]]&lt;=21,"Young Adult","Adult"))</f>
        <v>Young Adult</v>
      </c>
      <c r="N518" t="str">
        <f t="shared" si="40"/>
        <v>Very High</v>
      </c>
      <c r="O518" t="str">
        <f t="shared" si="41"/>
        <v>High</v>
      </c>
      <c r="P518" t="str">
        <f t="shared" si="42"/>
        <v>Average</v>
      </c>
      <c r="Q518">
        <f t="shared" si="43"/>
        <v>1</v>
      </c>
      <c r="R518" t="str">
        <f t="shared" si="44"/>
        <v>Average</v>
      </c>
      <c r="S518">
        <f>COUNTIF('Students Social Media Addiction'!O:O,"High")/COUNTA(Table1[Student_ID])</f>
        <v>0.5787234042553191</v>
      </c>
      <c r="T518">
        <f>AVERAGE(Table1[Academic Impact Flag])</f>
        <v>0.64255319148936174</v>
      </c>
      <c r="U518">
        <f>AVERAGE(Table1[Sleep_Hours_Per_Night])</f>
        <v>6.868936170212768</v>
      </c>
      <c r="V518">
        <f>AVERAGE(Table1[Mental_Health_Score])</f>
        <v>6.2269503546099294</v>
      </c>
    </row>
    <row r="519" spans="1:22" x14ac:dyDescent="0.3">
      <c r="A519">
        <v>518</v>
      </c>
      <c r="B519">
        <v>21</v>
      </c>
      <c r="C519" t="s">
        <v>18</v>
      </c>
      <c r="D519" t="s">
        <v>19</v>
      </c>
      <c r="E519" t="s">
        <v>89</v>
      </c>
      <c r="F519">
        <v>4.0999999999999996</v>
      </c>
      <c r="G519" t="s">
        <v>31</v>
      </c>
      <c r="H519" t="s">
        <v>22</v>
      </c>
      <c r="I519">
        <v>8</v>
      </c>
      <c r="J519">
        <v>7</v>
      </c>
      <c r="K519" t="s">
        <v>23</v>
      </c>
      <c r="L519">
        <v>5</v>
      </c>
      <c r="M519" t="str">
        <f>IF(Table1[[#This Row],[Age]]&lt;=18,"Teen",IF(Table1[[#This Row],[Age]]&lt;=21,"Young Adult","Adult"))</f>
        <v>Young Adult</v>
      </c>
      <c r="N519" t="str">
        <f t="shared" si="40"/>
        <v>High</v>
      </c>
      <c r="O519" t="str">
        <f t="shared" si="41"/>
        <v>Medium</v>
      </c>
      <c r="P519" t="str">
        <f t="shared" si="42"/>
        <v>Healthy</v>
      </c>
      <c r="Q519">
        <f t="shared" si="43"/>
        <v>0</v>
      </c>
      <c r="R519" t="str">
        <f t="shared" si="44"/>
        <v>Good</v>
      </c>
      <c r="S519">
        <f>COUNTIF('Students Social Media Addiction'!O:O,"High")/COUNTA(Table1[Student_ID])</f>
        <v>0.5787234042553191</v>
      </c>
      <c r="T519">
        <f>AVERAGE(Table1[Academic Impact Flag])</f>
        <v>0.64255319148936174</v>
      </c>
      <c r="U519">
        <f>AVERAGE(Table1[Sleep_Hours_Per_Night])</f>
        <v>6.868936170212768</v>
      </c>
      <c r="V519">
        <f>AVERAGE(Table1[Mental_Health_Score])</f>
        <v>6.2269503546099294</v>
      </c>
    </row>
    <row r="520" spans="1:22" x14ac:dyDescent="0.3">
      <c r="A520">
        <v>519</v>
      </c>
      <c r="B520">
        <v>20</v>
      </c>
      <c r="C520" t="s">
        <v>12</v>
      </c>
      <c r="D520" t="s">
        <v>13</v>
      </c>
      <c r="E520" t="s">
        <v>20</v>
      </c>
      <c r="F520">
        <v>6.9</v>
      </c>
      <c r="G520" t="s">
        <v>142</v>
      </c>
      <c r="H520" t="s">
        <v>16</v>
      </c>
      <c r="I520">
        <v>5.9</v>
      </c>
      <c r="J520">
        <v>5</v>
      </c>
      <c r="K520" t="s">
        <v>17</v>
      </c>
      <c r="L520">
        <v>8</v>
      </c>
      <c r="M520" t="str">
        <f>IF(Table1[[#This Row],[Age]]&lt;=18,"Teen",IF(Table1[[#This Row],[Age]]&lt;=21,"Young Adult","Adult"))</f>
        <v>Young Adult</v>
      </c>
      <c r="N520" t="str">
        <f t="shared" si="40"/>
        <v>Very High</v>
      </c>
      <c r="O520" t="str">
        <f t="shared" si="41"/>
        <v>High</v>
      </c>
      <c r="P520" t="str">
        <f t="shared" si="42"/>
        <v>Poor</v>
      </c>
      <c r="Q520">
        <f t="shared" si="43"/>
        <v>1</v>
      </c>
      <c r="R520" t="str">
        <f t="shared" si="44"/>
        <v>Average</v>
      </c>
      <c r="S520">
        <f>COUNTIF('Students Social Media Addiction'!O:O,"High")/COUNTA(Table1[Student_ID])</f>
        <v>0.5787234042553191</v>
      </c>
      <c r="T520">
        <f>AVERAGE(Table1[Academic Impact Flag])</f>
        <v>0.64255319148936174</v>
      </c>
      <c r="U520">
        <f>AVERAGE(Table1[Sleep_Hours_Per_Night])</f>
        <v>6.868936170212768</v>
      </c>
      <c r="V520">
        <f>AVERAGE(Table1[Mental_Health_Score])</f>
        <v>6.2269503546099294</v>
      </c>
    </row>
    <row r="521" spans="1:22" x14ac:dyDescent="0.3">
      <c r="A521">
        <v>520</v>
      </c>
      <c r="B521">
        <v>22</v>
      </c>
      <c r="C521" t="s">
        <v>18</v>
      </c>
      <c r="D521" t="s">
        <v>19</v>
      </c>
      <c r="E521" t="s">
        <v>30</v>
      </c>
      <c r="F521">
        <v>4.7</v>
      </c>
      <c r="G521" t="s">
        <v>25</v>
      </c>
      <c r="H521" t="s">
        <v>16</v>
      </c>
      <c r="I521">
        <v>7.5</v>
      </c>
      <c r="J521">
        <v>7</v>
      </c>
      <c r="K521" t="s">
        <v>23</v>
      </c>
      <c r="L521">
        <v>6</v>
      </c>
      <c r="M521" t="str">
        <f>IF(Table1[[#This Row],[Age]]&lt;=18,"Teen",IF(Table1[[#This Row],[Age]]&lt;=21,"Young Adult","Adult"))</f>
        <v>Adult</v>
      </c>
      <c r="N521" t="str">
        <f t="shared" si="40"/>
        <v>High</v>
      </c>
      <c r="O521" t="str">
        <f t="shared" si="41"/>
        <v>Medium</v>
      </c>
      <c r="P521" t="str">
        <f t="shared" si="42"/>
        <v>Healthy</v>
      </c>
      <c r="Q521">
        <f t="shared" si="43"/>
        <v>1</v>
      </c>
      <c r="R521" t="str">
        <f t="shared" si="44"/>
        <v>Good</v>
      </c>
      <c r="S521">
        <f>COUNTIF('Students Social Media Addiction'!O:O,"High")/COUNTA(Table1[Student_ID])</f>
        <v>0.5787234042553191</v>
      </c>
      <c r="T521">
        <f>AVERAGE(Table1[Academic Impact Flag])</f>
        <v>0.64255319148936174</v>
      </c>
      <c r="U521">
        <f>AVERAGE(Table1[Sleep_Hours_Per_Night])</f>
        <v>6.868936170212768</v>
      </c>
      <c r="V521">
        <f>AVERAGE(Table1[Mental_Health_Score])</f>
        <v>6.2269503546099294</v>
      </c>
    </row>
    <row r="522" spans="1:22" x14ac:dyDescent="0.3">
      <c r="A522">
        <v>521</v>
      </c>
      <c r="B522">
        <v>19</v>
      </c>
      <c r="C522" t="s">
        <v>12</v>
      </c>
      <c r="D522" t="s">
        <v>13</v>
      </c>
      <c r="E522" t="s">
        <v>35</v>
      </c>
      <c r="F522">
        <v>6</v>
      </c>
      <c r="G522" t="s">
        <v>142</v>
      </c>
      <c r="H522" t="s">
        <v>16</v>
      </c>
      <c r="I522">
        <v>6.5</v>
      </c>
      <c r="J522">
        <v>6</v>
      </c>
      <c r="K522" t="s">
        <v>23</v>
      </c>
      <c r="L522">
        <v>7</v>
      </c>
      <c r="M522" t="str">
        <f>IF(Table1[[#This Row],[Age]]&lt;=18,"Teen",IF(Table1[[#This Row],[Age]]&lt;=21,"Young Adult","Adult"))</f>
        <v>Young Adult</v>
      </c>
      <c r="N522" t="str">
        <f t="shared" si="40"/>
        <v>Very High</v>
      </c>
      <c r="O522" t="str">
        <f t="shared" si="41"/>
        <v>High</v>
      </c>
      <c r="P522" t="str">
        <f t="shared" si="42"/>
        <v>Average</v>
      </c>
      <c r="Q522">
        <f t="shared" si="43"/>
        <v>1</v>
      </c>
      <c r="R522" t="str">
        <f t="shared" si="44"/>
        <v>Average</v>
      </c>
      <c r="S522">
        <f>COUNTIF('Students Social Media Addiction'!O:O,"High")/COUNTA(Table1[Student_ID])</f>
        <v>0.5787234042553191</v>
      </c>
      <c r="T522">
        <f>AVERAGE(Table1[Academic Impact Flag])</f>
        <v>0.64255319148936174</v>
      </c>
      <c r="U522">
        <f>AVERAGE(Table1[Sleep_Hours_Per_Night])</f>
        <v>6.868936170212768</v>
      </c>
      <c r="V522">
        <f>AVERAGE(Table1[Mental_Health_Score])</f>
        <v>6.2269503546099294</v>
      </c>
    </row>
    <row r="523" spans="1:22" x14ac:dyDescent="0.3">
      <c r="A523">
        <v>522</v>
      </c>
      <c r="B523">
        <v>21</v>
      </c>
      <c r="C523" t="s">
        <v>18</v>
      </c>
      <c r="D523" t="s">
        <v>19</v>
      </c>
      <c r="E523" t="s">
        <v>44</v>
      </c>
      <c r="F523">
        <v>4.3</v>
      </c>
      <c r="G523" t="s">
        <v>143</v>
      </c>
      <c r="H523" t="s">
        <v>22</v>
      </c>
      <c r="I523">
        <v>8</v>
      </c>
      <c r="J523">
        <v>7</v>
      </c>
      <c r="K523" t="s">
        <v>17</v>
      </c>
      <c r="L523">
        <v>5</v>
      </c>
      <c r="M523" t="str">
        <f>IF(Table1[[#This Row],[Age]]&lt;=18,"Teen",IF(Table1[[#This Row],[Age]]&lt;=21,"Young Adult","Adult"))</f>
        <v>Young Adult</v>
      </c>
      <c r="N523" t="str">
        <f t="shared" si="40"/>
        <v>High</v>
      </c>
      <c r="O523" t="str">
        <f t="shared" si="41"/>
        <v>Medium</v>
      </c>
      <c r="P523" t="str">
        <f t="shared" si="42"/>
        <v>Healthy</v>
      </c>
      <c r="Q523">
        <f t="shared" si="43"/>
        <v>0</v>
      </c>
      <c r="R523" t="str">
        <f t="shared" si="44"/>
        <v>Good</v>
      </c>
      <c r="S523">
        <f>COUNTIF('Students Social Media Addiction'!O:O,"High")/COUNTA(Table1[Student_ID])</f>
        <v>0.5787234042553191</v>
      </c>
      <c r="T523">
        <f>AVERAGE(Table1[Academic Impact Flag])</f>
        <v>0.64255319148936174</v>
      </c>
      <c r="U523">
        <f>AVERAGE(Table1[Sleep_Hours_Per_Night])</f>
        <v>6.868936170212768</v>
      </c>
      <c r="V523">
        <f>AVERAGE(Table1[Mental_Health_Score])</f>
        <v>6.2269503546099294</v>
      </c>
    </row>
    <row r="524" spans="1:22" x14ac:dyDescent="0.3">
      <c r="A524">
        <v>523</v>
      </c>
      <c r="B524">
        <v>20</v>
      </c>
      <c r="C524" t="s">
        <v>12</v>
      </c>
      <c r="D524" t="s">
        <v>13</v>
      </c>
      <c r="E524" t="s">
        <v>48</v>
      </c>
      <c r="F524">
        <v>3.6</v>
      </c>
      <c r="G524" t="s">
        <v>15</v>
      </c>
      <c r="H524" t="s">
        <v>22</v>
      </c>
      <c r="I524">
        <v>8.4</v>
      </c>
      <c r="J524">
        <v>8</v>
      </c>
      <c r="K524" t="s">
        <v>23</v>
      </c>
      <c r="L524">
        <v>4</v>
      </c>
      <c r="M524" t="str">
        <f>IF(Table1[[#This Row],[Age]]&lt;=18,"Teen",IF(Table1[[#This Row],[Age]]&lt;=21,"Young Adult","Adult"))</f>
        <v>Young Adult</v>
      </c>
      <c r="N524" t="str">
        <f t="shared" si="40"/>
        <v>Moderate</v>
      </c>
      <c r="O524" t="str">
        <f t="shared" si="41"/>
        <v>Medium</v>
      </c>
      <c r="P524" t="str">
        <f t="shared" si="42"/>
        <v>Healthy</v>
      </c>
      <c r="Q524">
        <f t="shared" si="43"/>
        <v>0</v>
      </c>
      <c r="R524" t="str">
        <f t="shared" si="44"/>
        <v>Good</v>
      </c>
      <c r="S524">
        <f>COUNTIF('Students Social Media Addiction'!O:O,"High")/COUNTA(Table1[Student_ID])</f>
        <v>0.5787234042553191</v>
      </c>
      <c r="T524">
        <f>AVERAGE(Table1[Academic Impact Flag])</f>
        <v>0.64255319148936174</v>
      </c>
      <c r="U524">
        <f>AVERAGE(Table1[Sleep_Hours_Per_Night])</f>
        <v>6.868936170212768</v>
      </c>
      <c r="V524">
        <f>AVERAGE(Table1[Mental_Health_Score])</f>
        <v>6.2269503546099294</v>
      </c>
    </row>
    <row r="525" spans="1:22" x14ac:dyDescent="0.3">
      <c r="A525">
        <v>524</v>
      </c>
      <c r="B525">
        <v>22</v>
      </c>
      <c r="C525" t="s">
        <v>18</v>
      </c>
      <c r="D525" t="s">
        <v>19</v>
      </c>
      <c r="E525" t="s">
        <v>55</v>
      </c>
      <c r="F525">
        <v>4.5</v>
      </c>
      <c r="G525" t="s">
        <v>31</v>
      </c>
      <c r="H525" t="s">
        <v>16</v>
      </c>
      <c r="I525">
        <v>7.7</v>
      </c>
      <c r="J525">
        <v>7</v>
      </c>
      <c r="K525" t="s">
        <v>17</v>
      </c>
      <c r="L525">
        <v>6</v>
      </c>
      <c r="M525" t="str">
        <f>IF(Table1[[#This Row],[Age]]&lt;=18,"Teen",IF(Table1[[#This Row],[Age]]&lt;=21,"Young Adult","Adult"))</f>
        <v>Adult</v>
      </c>
      <c r="N525" t="str">
        <f t="shared" si="40"/>
        <v>High</v>
      </c>
      <c r="O525" t="str">
        <f t="shared" si="41"/>
        <v>Medium</v>
      </c>
      <c r="P525" t="str">
        <f t="shared" si="42"/>
        <v>Healthy</v>
      </c>
      <c r="Q525">
        <f t="shared" si="43"/>
        <v>1</v>
      </c>
      <c r="R525" t="str">
        <f t="shared" si="44"/>
        <v>Good</v>
      </c>
      <c r="S525">
        <f>COUNTIF('Students Social Media Addiction'!O:O,"High")/COUNTA(Table1[Student_ID])</f>
        <v>0.5787234042553191</v>
      </c>
      <c r="T525">
        <f>AVERAGE(Table1[Academic Impact Flag])</f>
        <v>0.64255319148936174</v>
      </c>
      <c r="U525">
        <f>AVERAGE(Table1[Sleep_Hours_Per_Night])</f>
        <v>6.868936170212768</v>
      </c>
      <c r="V525">
        <f>AVERAGE(Table1[Mental_Health_Score])</f>
        <v>6.2269503546099294</v>
      </c>
    </row>
    <row r="526" spans="1:22" x14ac:dyDescent="0.3">
      <c r="A526">
        <v>525</v>
      </c>
      <c r="B526">
        <v>19</v>
      </c>
      <c r="C526" t="s">
        <v>12</v>
      </c>
      <c r="D526" t="s">
        <v>13</v>
      </c>
      <c r="E526" t="s">
        <v>56</v>
      </c>
      <c r="F526">
        <v>5.3</v>
      </c>
      <c r="G526" t="s">
        <v>25</v>
      </c>
      <c r="H526" t="s">
        <v>16</v>
      </c>
      <c r="I526">
        <v>6.8</v>
      </c>
      <c r="J526">
        <v>6</v>
      </c>
      <c r="K526" t="s">
        <v>23</v>
      </c>
      <c r="L526">
        <v>7</v>
      </c>
      <c r="M526" t="str">
        <f>IF(Table1[[#This Row],[Age]]&lt;=18,"Teen",IF(Table1[[#This Row],[Age]]&lt;=21,"Young Adult","Adult"))</f>
        <v>Young Adult</v>
      </c>
      <c r="N526" t="str">
        <f t="shared" si="40"/>
        <v>High</v>
      </c>
      <c r="O526" t="str">
        <f t="shared" si="41"/>
        <v>High</v>
      </c>
      <c r="P526" t="str">
        <f t="shared" si="42"/>
        <v>Average</v>
      </c>
      <c r="Q526">
        <f t="shared" si="43"/>
        <v>1</v>
      </c>
      <c r="R526" t="str">
        <f t="shared" si="44"/>
        <v>Average</v>
      </c>
      <c r="S526">
        <f>COUNTIF('Students Social Media Addiction'!O:O,"High")/COUNTA(Table1[Student_ID])</f>
        <v>0.5787234042553191</v>
      </c>
      <c r="T526">
        <f>AVERAGE(Table1[Academic Impact Flag])</f>
        <v>0.64255319148936174</v>
      </c>
      <c r="U526">
        <f>AVERAGE(Table1[Sleep_Hours_Per_Night])</f>
        <v>6.868936170212768</v>
      </c>
      <c r="V526">
        <f>AVERAGE(Table1[Mental_Health_Score])</f>
        <v>6.2269503546099294</v>
      </c>
    </row>
    <row r="527" spans="1:22" x14ac:dyDescent="0.3">
      <c r="A527">
        <v>526</v>
      </c>
      <c r="B527">
        <v>21</v>
      </c>
      <c r="C527" t="s">
        <v>18</v>
      </c>
      <c r="D527" t="s">
        <v>19</v>
      </c>
      <c r="E527" t="s">
        <v>57</v>
      </c>
      <c r="F527">
        <v>5.7</v>
      </c>
      <c r="G527" t="s">
        <v>142</v>
      </c>
      <c r="H527" t="s">
        <v>16</v>
      </c>
      <c r="I527">
        <v>6.6</v>
      </c>
      <c r="J527">
        <v>6</v>
      </c>
      <c r="K527" t="s">
        <v>23</v>
      </c>
      <c r="L527">
        <v>7</v>
      </c>
      <c r="M527" t="str">
        <f>IF(Table1[[#This Row],[Age]]&lt;=18,"Teen",IF(Table1[[#This Row],[Age]]&lt;=21,"Young Adult","Adult"))</f>
        <v>Young Adult</v>
      </c>
      <c r="N527" t="str">
        <f t="shared" si="40"/>
        <v>High</v>
      </c>
      <c r="O527" t="str">
        <f t="shared" si="41"/>
        <v>High</v>
      </c>
      <c r="P527" t="str">
        <f t="shared" si="42"/>
        <v>Average</v>
      </c>
      <c r="Q527">
        <f t="shared" si="43"/>
        <v>1</v>
      </c>
      <c r="R527" t="str">
        <f t="shared" si="44"/>
        <v>Average</v>
      </c>
      <c r="S527">
        <f>COUNTIF('Students Social Media Addiction'!O:O,"High")/COUNTA(Table1[Student_ID])</f>
        <v>0.5787234042553191</v>
      </c>
      <c r="T527">
        <f>AVERAGE(Table1[Academic Impact Flag])</f>
        <v>0.64255319148936174</v>
      </c>
      <c r="U527">
        <f>AVERAGE(Table1[Sleep_Hours_Per_Night])</f>
        <v>6.868936170212768</v>
      </c>
      <c r="V527">
        <f>AVERAGE(Table1[Mental_Health_Score])</f>
        <v>6.2269503546099294</v>
      </c>
    </row>
    <row r="528" spans="1:22" x14ac:dyDescent="0.3">
      <c r="A528">
        <v>527</v>
      </c>
      <c r="B528">
        <v>20</v>
      </c>
      <c r="C528" t="s">
        <v>12</v>
      </c>
      <c r="D528" t="s">
        <v>13</v>
      </c>
      <c r="E528" t="s">
        <v>66</v>
      </c>
      <c r="F528">
        <v>6.7</v>
      </c>
      <c r="G528" t="s">
        <v>15</v>
      </c>
      <c r="H528" t="s">
        <v>16</v>
      </c>
      <c r="I528">
        <v>6.3</v>
      </c>
      <c r="J528">
        <v>5</v>
      </c>
      <c r="K528" t="s">
        <v>17</v>
      </c>
      <c r="L528">
        <v>8</v>
      </c>
      <c r="M528" t="str">
        <f>IF(Table1[[#This Row],[Age]]&lt;=18,"Teen",IF(Table1[[#This Row],[Age]]&lt;=21,"Young Adult","Adult"))</f>
        <v>Young Adult</v>
      </c>
      <c r="N528" t="str">
        <f t="shared" si="40"/>
        <v>Very High</v>
      </c>
      <c r="O528" t="str">
        <f t="shared" si="41"/>
        <v>High</v>
      </c>
      <c r="P528" t="str">
        <f t="shared" si="42"/>
        <v>Average</v>
      </c>
      <c r="Q528">
        <f t="shared" si="43"/>
        <v>1</v>
      </c>
      <c r="R528" t="str">
        <f t="shared" si="44"/>
        <v>Average</v>
      </c>
      <c r="S528">
        <f>COUNTIF('Students Social Media Addiction'!O:O,"High")/COUNTA(Table1[Student_ID])</f>
        <v>0.5787234042553191</v>
      </c>
      <c r="T528">
        <f>AVERAGE(Table1[Academic Impact Flag])</f>
        <v>0.64255319148936174</v>
      </c>
      <c r="U528">
        <f>AVERAGE(Table1[Sleep_Hours_Per_Night])</f>
        <v>6.868936170212768</v>
      </c>
      <c r="V528">
        <f>AVERAGE(Table1[Mental_Health_Score])</f>
        <v>6.2269503546099294</v>
      </c>
    </row>
    <row r="529" spans="1:22" x14ac:dyDescent="0.3">
      <c r="A529">
        <v>528</v>
      </c>
      <c r="B529">
        <v>22</v>
      </c>
      <c r="C529" t="s">
        <v>18</v>
      </c>
      <c r="D529" t="s">
        <v>19</v>
      </c>
      <c r="E529" t="s">
        <v>89</v>
      </c>
      <c r="F529">
        <v>4</v>
      </c>
      <c r="G529" t="s">
        <v>31</v>
      </c>
      <c r="H529" t="s">
        <v>22</v>
      </c>
      <c r="I529">
        <v>8.1</v>
      </c>
      <c r="J529">
        <v>7</v>
      </c>
      <c r="K529" t="s">
        <v>23</v>
      </c>
      <c r="L529">
        <v>5</v>
      </c>
      <c r="M529" t="str">
        <f>IF(Table1[[#This Row],[Age]]&lt;=18,"Teen",IF(Table1[[#This Row],[Age]]&lt;=21,"Young Adult","Adult"))</f>
        <v>Adult</v>
      </c>
      <c r="N529" t="str">
        <f t="shared" si="40"/>
        <v>High</v>
      </c>
      <c r="O529" t="str">
        <f t="shared" si="41"/>
        <v>Medium</v>
      </c>
      <c r="P529" t="str">
        <f t="shared" si="42"/>
        <v>Healthy</v>
      </c>
      <c r="Q529">
        <f t="shared" si="43"/>
        <v>0</v>
      </c>
      <c r="R529" t="str">
        <f t="shared" si="44"/>
        <v>Good</v>
      </c>
      <c r="S529">
        <f>COUNTIF('Students Social Media Addiction'!O:O,"High")/COUNTA(Table1[Student_ID])</f>
        <v>0.5787234042553191</v>
      </c>
      <c r="T529">
        <f>AVERAGE(Table1[Academic Impact Flag])</f>
        <v>0.64255319148936174</v>
      </c>
      <c r="U529">
        <f>AVERAGE(Table1[Sleep_Hours_Per_Night])</f>
        <v>6.868936170212768</v>
      </c>
      <c r="V529">
        <f>AVERAGE(Table1[Mental_Health_Score])</f>
        <v>6.2269503546099294</v>
      </c>
    </row>
    <row r="530" spans="1:22" x14ac:dyDescent="0.3">
      <c r="A530">
        <v>529</v>
      </c>
      <c r="B530">
        <v>19</v>
      </c>
      <c r="C530" t="s">
        <v>12</v>
      </c>
      <c r="D530" t="s">
        <v>13</v>
      </c>
      <c r="E530" t="s">
        <v>20</v>
      </c>
      <c r="F530">
        <v>7</v>
      </c>
      <c r="G530" t="s">
        <v>142</v>
      </c>
      <c r="H530" t="s">
        <v>16</v>
      </c>
      <c r="I530">
        <v>5.8</v>
      </c>
      <c r="J530">
        <v>5</v>
      </c>
      <c r="K530" t="s">
        <v>17</v>
      </c>
      <c r="L530">
        <v>8</v>
      </c>
      <c r="M530" t="str">
        <f>IF(Table1[[#This Row],[Age]]&lt;=18,"Teen",IF(Table1[[#This Row],[Age]]&lt;=21,"Young Adult","Adult"))</f>
        <v>Young Adult</v>
      </c>
      <c r="N530" t="str">
        <f t="shared" si="40"/>
        <v>Very High</v>
      </c>
      <c r="O530" t="str">
        <f t="shared" si="41"/>
        <v>High</v>
      </c>
      <c r="P530" t="str">
        <f t="shared" si="42"/>
        <v>Poor</v>
      </c>
      <c r="Q530">
        <f t="shared" si="43"/>
        <v>1</v>
      </c>
      <c r="R530" t="str">
        <f t="shared" si="44"/>
        <v>Average</v>
      </c>
      <c r="S530">
        <f>COUNTIF('Students Social Media Addiction'!O:O,"High")/COUNTA(Table1[Student_ID])</f>
        <v>0.5787234042553191</v>
      </c>
      <c r="T530">
        <f>AVERAGE(Table1[Academic Impact Flag])</f>
        <v>0.64255319148936174</v>
      </c>
      <c r="U530">
        <f>AVERAGE(Table1[Sleep_Hours_Per_Night])</f>
        <v>6.868936170212768</v>
      </c>
      <c r="V530">
        <f>AVERAGE(Table1[Mental_Health_Score])</f>
        <v>6.2269503546099294</v>
      </c>
    </row>
    <row r="531" spans="1:22" x14ac:dyDescent="0.3">
      <c r="A531">
        <v>530</v>
      </c>
      <c r="B531">
        <v>21</v>
      </c>
      <c r="C531" t="s">
        <v>18</v>
      </c>
      <c r="D531" t="s">
        <v>19</v>
      </c>
      <c r="E531" t="s">
        <v>30</v>
      </c>
      <c r="F531">
        <v>4.5999999999999996</v>
      </c>
      <c r="G531" t="s">
        <v>15</v>
      </c>
      <c r="H531" t="s">
        <v>16</v>
      </c>
      <c r="I531">
        <v>7.6</v>
      </c>
      <c r="J531">
        <v>7</v>
      </c>
      <c r="K531" t="s">
        <v>23</v>
      </c>
      <c r="L531">
        <v>6</v>
      </c>
      <c r="M531" t="str">
        <f>IF(Table1[[#This Row],[Age]]&lt;=18,"Teen",IF(Table1[[#This Row],[Age]]&lt;=21,"Young Adult","Adult"))</f>
        <v>Young Adult</v>
      </c>
      <c r="N531" t="str">
        <f t="shared" si="40"/>
        <v>High</v>
      </c>
      <c r="O531" t="str">
        <f t="shared" si="41"/>
        <v>Medium</v>
      </c>
      <c r="P531" t="str">
        <f t="shared" si="42"/>
        <v>Healthy</v>
      </c>
      <c r="Q531">
        <f t="shared" si="43"/>
        <v>1</v>
      </c>
      <c r="R531" t="str">
        <f t="shared" si="44"/>
        <v>Good</v>
      </c>
      <c r="S531">
        <f>COUNTIF('Students Social Media Addiction'!O:O,"High")/COUNTA(Table1[Student_ID])</f>
        <v>0.5787234042553191</v>
      </c>
      <c r="T531">
        <f>AVERAGE(Table1[Academic Impact Flag])</f>
        <v>0.64255319148936174</v>
      </c>
      <c r="U531">
        <f>AVERAGE(Table1[Sleep_Hours_Per_Night])</f>
        <v>6.868936170212768</v>
      </c>
      <c r="V531">
        <f>AVERAGE(Table1[Mental_Health_Score])</f>
        <v>6.2269503546099294</v>
      </c>
    </row>
    <row r="532" spans="1:22" x14ac:dyDescent="0.3">
      <c r="A532">
        <v>531</v>
      </c>
      <c r="B532">
        <v>20</v>
      </c>
      <c r="C532" t="s">
        <v>12</v>
      </c>
      <c r="D532" t="s">
        <v>13</v>
      </c>
      <c r="E532" t="s">
        <v>35</v>
      </c>
      <c r="F532">
        <v>5.9</v>
      </c>
      <c r="G532" t="s">
        <v>25</v>
      </c>
      <c r="H532" t="s">
        <v>16</v>
      </c>
      <c r="I532">
        <v>6.6</v>
      </c>
      <c r="J532">
        <v>6</v>
      </c>
      <c r="K532" t="s">
        <v>23</v>
      </c>
      <c r="L532">
        <v>7</v>
      </c>
      <c r="M532" t="str">
        <f>IF(Table1[[#This Row],[Age]]&lt;=18,"Teen",IF(Table1[[#This Row],[Age]]&lt;=21,"Young Adult","Adult"))</f>
        <v>Young Adult</v>
      </c>
      <c r="N532" t="str">
        <f t="shared" si="40"/>
        <v>High</v>
      </c>
      <c r="O532" t="str">
        <f t="shared" si="41"/>
        <v>High</v>
      </c>
      <c r="P532" t="str">
        <f t="shared" si="42"/>
        <v>Average</v>
      </c>
      <c r="Q532">
        <f t="shared" si="43"/>
        <v>1</v>
      </c>
      <c r="R532" t="str">
        <f t="shared" si="44"/>
        <v>Average</v>
      </c>
      <c r="S532">
        <f>COUNTIF('Students Social Media Addiction'!O:O,"High")/COUNTA(Table1[Student_ID])</f>
        <v>0.5787234042553191</v>
      </c>
      <c r="T532">
        <f>AVERAGE(Table1[Academic Impact Flag])</f>
        <v>0.64255319148936174</v>
      </c>
      <c r="U532">
        <f>AVERAGE(Table1[Sleep_Hours_Per_Night])</f>
        <v>6.868936170212768</v>
      </c>
      <c r="V532">
        <f>AVERAGE(Table1[Mental_Health_Score])</f>
        <v>6.2269503546099294</v>
      </c>
    </row>
    <row r="533" spans="1:22" x14ac:dyDescent="0.3">
      <c r="A533">
        <v>532</v>
      </c>
      <c r="B533">
        <v>22</v>
      </c>
      <c r="C533" t="s">
        <v>18</v>
      </c>
      <c r="D533" t="s">
        <v>19</v>
      </c>
      <c r="E533" t="s">
        <v>44</v>
      </c>
      <c r="F533">
        <v>4.2</v>
      </c>
      <c r="G533" t="s">
        <v>143</v>
      </c>
      <c r="H533" t="s">
        <v>22</v>
      </c>
      <c r="I533">
        <v>8.1</v>
      </c>
      <c r="J533">
        <v>7</v>
      </c>
      <c r="K533" t="s">
        <v>17</v>
      </c>
      <c r="L533">
        <v>5</v>
      </c>
      <c r="M533" t="str">
        <f>IF(Table1[[#This Row],[Age]]&lt;=18,"Teen",IF(Table1[[#This Row],[Age]]&lt;=21,"Young Adult","Adult"))</f>
        <v>Adult</v>
      </c>
      <c r="N533" t="str">
        <f t="shared" si="40"/>
        <v>High</v>
      </c>
      <c r="O533" t="str">
        <f t="shared" si="41"/>
        <v>Medium</v>
      </c>
      <c r="P533" t="str">
        <f t="shared" si="42"/>
        <v>Healthy</v>
      </c>
      <c r="Q533">
        <f t="shared" si="43"/>
        <v>0</v>
      </c>
      <c r="R533" t="str">
        <f t="shared" si="44"/>
        <v>Good</v>
      </c>
      <c r="S533">
        <f>COUNTIF('Students Social Media Addiction'!O:O,"High")/COUNTA(Table1[Student_ID])</f>
        <v>0.5787234042553191</v>
      </c>
      <c r="T533">
        <f>AVERAGE(Table1[Academic Impact Flag])</f>
        <v>0.64255319148936174</v>
      </c>
      <c r="U533">
        <f>AVERAGE(Table1[Sleep_Hours_Per_Night])</f>
        <v>6.868936170212768</v>
      </c>
      <c r="V533">
        <f>AVERAGE(Table1[Mental_Health_Score])</f>
        <v>6.2269503546099294</v>
      </c>
    </row>
    <row r="534" spans="1:22" x14ac:dyDescent="0.3">
      <c r="A534">
        <v>533</v>
      </c>
      <c r="B534">
        <v>19</v>
      </c>
      <c r="C534" t="s">
        <v>12</v>
      </c>
      <c r="D534" t="s">
        <v>13</v>
      </c>
      <c r="E534" t="s">
        <v>48</v>
      </c>
      <c r="F534">
        <v>3.5</v>
      </c>
      <c r="G534" t="s">
        <v>15</v>
      </c>
      <c r="H534" t="s">
        <v>22</v>
      </c>
      <c r="I534">
        <v>8.5</v>
      </c>
      <c r="J534">
        <v>8</v>
      </c>
      <c r="K534" t="s">
        <v>23</v>
      </c>
      <c r="L534">
        <v>4</v>
      </c>
      <c r="M534" t="str">
        <f>IF(Table1[[#This Row],[Age]]&lt;=18,"Teen",IF(Table1[[#This Row],[Age]]&lt;=21,"Young Adult","Adult"))</f>
        <v>Young Adult</v>
      </c>
      <c r="N534" t="str">
        <f t="shared" si="40"/>
        <v>Moderate</v>
      </c>
      <c r="O534" t="str">
        <f t="shared" si="41"/>
        <v>Medium</v>
      </c>
      <c r="P534" t="str">
        <f t="shared" si="42"/>
        <v>Healthy</v>
      </c>
      <c r="Q534">
        <f t="shared" si="43"/>
        <v>0</v>
      </c>
      <c r="R534" t="str">
        <f t="shared" si="44"/>
        <v>Good</v>
      </c>
      <c r="S534">
        <f>COUNTIF('Students Social Media Addiction'!O:O,"High")/COUNTA(Table1[Student_ID])</f>
        <v>0.5787234042553191</v>
      </c>
      <c r="T534">
        <f>AVERAGE(Table1[Academic Impact Flag])</f>
        <v>0.64255319148936174</v>
      </c>
      <c r="U534">
        <f>AVERAGE(Table1[Sleep_Hours_Per_Night])</f>
        <v>6.868936170212768</v>
      </c>
      <c r="V534">
        <f>AVERAGE(Table1[Mental_Health_Score])</f>
        <v>6.2269503546099294</v>
      </c>
    </row>
    <row r="535" spans="1:22" x14ac:dyDescent="0.3">
      <c r="A535">
        <v>534</v>
      </c>
      <c r="B535">
        <v>21</v>
      </c>
      <c r="C535" t="s">
        <v>18</v>
      </c>
      <c r="D535" t="s">
        <v>19</v>
      </c>
      <c r="E535" t="s">
        <v>55</v>
      </c>
      <c r="F535">
        <v>4.4000000000000004</v>
      </c>
      <c r="G535" t="s">
        <v>31</v>
      </c>
      <c r="H535" t="s">
        <v>16</v>
      </c>
      <c r="I535">
        <v>7.8</v>
      </c>
      <c r="J535">
        <v>7</v>
      </c>
      <c r="K535" t="s">
        <v>17</v>
      </c>
      <c r="L535">
        <v>6</v>
      </c>
      <c r="M535" t="str">
        <f>IF(Table1[[#This Row],[Age]]&lt;=18,"Teen",IF(Table1[[#This Row],[Age]]&lt;=21,"Young Adult","Adult"))</f>
        <v>Young Adult</v>
      </c>
      <c r="N535" t="str">
        <f t="shared" si="40"/>
        <v>High</v>
      </c>
      <c r="O535" t="str">
        <f t="shared" si="41"/>
        <v>Medium</v>
      </c>
      <c r="P535" t="str">
        <f t="shared" si="42"/>
        <v>Healthy</v>
      </c>
      <c r="Q535">
        <f t="shared" si="43"/>
        <v>1</v>
      </c>
      <c r="R535" t="str">
        <f t="shared" si="44"/>
        <v>Good</v>
      </c>
      <c r="S535">
        <f>COUNTIF('Students Social Media Addiction'!O:O,"High")/COUNTA(Table1[Student_ID])</f>
        <v>0.5787234042553191</v>
      </c>
      <c r="T535">
        <f>AVERAGE(Table1[Academic Impact Flag])</f>
        <v>0.64255319148936174</v>
      </c>
      <c r="U535">
        <f>AVERAGE(Table1[Sleep_Hours_Per_Night])</f>
        <v>6.868936170212768</v>
      </c>
      <c r="V535">
        <f>AVERAGE(Table1[Mental_Health_Score])</f>
        <v>6.2269503546099294</v>
      </c>
    </row>
    <row r="536" spans="1:22" x14ac:dyDescent="0.3">
      <c r="A536">
        <v>535</v>
      </c>
      <c r="B536">
        <v>20</v>
      </c>
      <c r="C536" t="s">
        <v>12</v>
      </c>
      <c r="D536" t="s">
        <v>13</v>
      </c>
      <c r="E536" t="s">
        <v>56</v>
      </c>
      <c r="F536">
        <v>5.4</v>
      </c>
      <c r="G536" t="s">
        <v>25</v>
      </c>
      <c r="H536" t="s">
        <v>16</v>
      </c>
      <c r="I536">
        <v>6.7</v>
      </c>
      <c r="J536">
        <v>6</v>
      </c>
      <c r="K536" t="s">
        <v>23</v>
      </c>
      <c r="L536">
        <v>7</v>
      </c>
      <c r="M536" t="str">
        <f>IF(Table1[[#This Row],[Age]]&lt;=18,"Teen",IF(Table1[[#This Row],[Age]]&lt;=21,"Young Adult","Adult"))</f>
        <v>Young Adult</v>
      </c>
      <c r="N536" t="str">
        <f t="shared" si="40"/>
        <v>High</v>
      </c>
      <c r="O536" t="str">
        <f t="shared" si="41"/>
        <v>High</v>
      </c>
      <c r="P536" t="str">
        <f t="shared" si="42"/>
        <v>Average</v>
      </c>
      <c r="Q536">
        <f t="shared" si="43"/>
        <v>1</v>
      </c>
      <c r="R536" t="str">
        <f t="shared" si="44"/>
        <v>Average</v>
      </c>
      <c r="S536">
        <f>COUNTIF('Students Social Media Addiction'!O:O,"High")/COUNTA(Table1[Student_ID])</f>
        <v>0.5787234042553191</v>
      </c>
      <c r="T536">
        <f>AVERAGE(Table1[Academic Impact Flag])</f>
        <v>0.64255319148936174</v>
      </c>
      <c r="U536">
        <f>AVERAGE(Table1[Sleep_Hours_Per_Night])</f>
        <v>6.868936170212768</v>
      </c>
      <c r="V536">
        <f>AVERAGE(Table1[Mental_Health_Score])</f>
        <v>6.2269503546099294</v>
      </c>
    </row>
    <row r="537" spans="1:22" x14ac:dyDescent="0.3">
      <c r="A537">
        <v>536</v>
      </c>
      <c r="B537">
        <v>22</v>
      </c>
      <c r="C537" t="s">
        <v>18</v>
      </c>
      <c r="D537" t="s">
        <v>19</v>
      </c>
      <c r="E537" t="s">
        <v>57</v>
      </c>
      <c r="F537">
        <v>5.8</v>
      </c>
      <c r="G537" t="s">
        <v>142</v>
      </c>
      <c r="H537" t="s">
        <v>16</v>
      </c>
      <c r="I537">
        <v>6.5</v>
      </c>
      <c r="J537">
        <v>6</v>
      </c>
      <c r="K537" t="s">
        <v>23</v>
      </c>
      <c r="L537">
        <v>7</v>
      </c>
      <c r="M537" t="str">
        <f>IF(Table1[[#This Row],[Age]]&lt;=18,"Teen",IF(Table1[[#This Row],[Age]]&lt;=21,"Young Adult","Adult"))</f>
        <v>Adult</v>
      </c>
      <c r="N537" t="str">
        <f t="shared" si="40"/>
        <v>High</v>
      </c>
      <c r="O537" t="str">
        <f t="shared" si="41"/>
        <v>High</v>
      </c>
      <c r="P537" t="str">
        <f t="shared" si="42"/>
        <v>Average</v>
      </c>
      <c r="Q537">
        <f t="shared" si="43"/>
        <v>1</v>
      </c>
      <c r="R537" t="str">
        <f t="shared" si="44"/>
        <v>Average</v>
      </c>
      <c r="S537">
        <f>COUNTIF('Students Social Media Addiction'!O:O,"High")/COUNTA(Table1[Student_ID])</f>
        <v>0.5787234042553191</v>
      </c>
      <c r="T537">
        <f>AVERAGE(Table1[Academic Impact Flag])</f>
        <v>0.64255319148936174</v>
      </c>
      <c r="U537">
        <f>AVERAGE(Table1[Sleep_Hours_Per_Night])</f>
        <v>6.868936170212768</v>
      </c>
      <c r="V537">
        <f>AVERAGE(Table1[Mental_Health_Score])</f>
        <v>6.2269503546099294</v>
      </c>
    </row>
    <row r="538" spans="1:22" x14ac:dyDescent="0.3">
      <c r="A538">
        <v>537</v>
      </c>
      <c r="B538">
        <v>19</v>
      </c>
      <c r="C538" t="s">
        <v>12</v>
      </c>
      <c r="D538" t="s">
        <v>13</v>
      </c>
      <c r="E538" t="s">
        <v>66</v>
      </c>
      <c r="F538">
        <v>6.8</v>
      </c>
      <c r="G538" t="s">
        <v>15</v>
      </c>
      <c r="H538" t="s">
        <v>16</v>
      </c>
      <c r="I538">
        <v>6.2</v>
      </c>
      <c r="J538">
        <v>5</v>
      </c>
      <c r="K538" t="s">
        <v>17</v>
      </c>
      <c r="L538">
        <v>8</v>
      </c>
      <c r="M538" t="str">
        <f>IF(Table1[[#This Row],[Age]]&lt;=18,"Teen",IF(Table1[[#This Row],[Age]]&lt;=21,"Young Adult","Adult"))</f>
        <v>Young Adult</v>
      </c>
      <c r="N538" t="str">
        <f t="shared" si="40"/>
        <v>Very High</v>
      </c>
      <c r="O538" t="str">
        <f t="shared" si="41"/>
        <v>High</v>
      </c>
      <c r="P538" t="str">
        <f t="shared" si="42"/>
        <v>Average</v>
      </c>
      <c r="Q538">
        <f t="shared" si="43"/>
        <v>1</v>
      </c>
      <c r="R538" t="str">
        <f t="shared" si="44"/>
        <v>Average</v>
      </c>
      <c r="S538">
        <f>COUNTIF('Students Social Media Addiction'!O:O,"High")/COUNTA(Table1[Student_ID])</f>
        <v>0.5787234042553191</v>
      </c>
      <c r="T538">
        <f>AVERAGE(Table1[Academic Impact Flag])</f>
        <v>0.64255319148936174</v>
      </c>
      <c r="U538">
        <f>AVERAGE(Table1[Sleep_Hours_Per_Night])</f>
        <v>6.868936170212768</v>
      </c>
      <c r="V538">
        <f>AVERAGE(Table1[Mental_Health_Score])</f>
        <v>6.2269503546099294</v>
      </c>
    </row>
    <row r="539" spans="1:22" x14ac:dyDescent="0.3">
      <c r="A539">
        <v>538</v>
      </c>
      <c r="B539">
        <v>21</v>
      </c>
      <c r="C539" t="s">
        <v>18</v>
      </c>
      <c r="D539" t="s">
        <v>19</v>
      </c>
      <c r="E539" t="s">
        <v>89</v>
      </c>
      <c r="F539">
        <v>3.9</v>
      </c>
      <c r="G539" t="s">
        <v>31</v>
      </c>
      <c r="H539" t="s">
        <v>22</v>
      </c>
      <c r="I539">
        <v>8.1999999999999993</v>
      </c>
      <c r="J539">
        <v>7</v>
      </c>
      <c r="K539" t="s">
        <v>23</v>
      </c>
      <c r="L539">
        <v>5</v>
      </c>
      <c r="M539" t="str">
        <f>IF(Table1[[#This Row],[Age]]&lt;=18,"Teen",IF(Table1[[#This Row],[Age]]&lt;=21,"Young Adult","Adult"))</f>
        <v>Young Adult</v>
      </c>
      <c r="N539" t="str">
        <f t="shared" si="40"/>
        <v>Moderate</v>
      </c>
      <c r="O539" t="str">
        <f t="shared" si="41"/>
        <v>Medium</v>
      </c>
      <c r="P539" t="str">
        <f t="shared" si="42"/>
        <v>Healthy</v>
      </c>
      <c r="Q539">
        <f t="shared" si="43"/>
        <v>0</v>
      </c>
      <c r="R539" t="str">
        <f t="shared" si="44"/>
        <v>Good</v>
      </c>
      <c r="S539">
        <f>COUNTIF('Students Social Media Addiction'!O:O,"High")/COUNTA(Table1[Student_ID])</f>
        <v>0.5787234042553191</v>
      </c>
      <c r="T539">
        <f>AVERAGE(Table1[Academic Impact Flag])</f>
        <v>0.64255319148936174</v>
      </c>
      <c r="U539">
        <f>AVERAGE(Table1[Sleep_Hours_Per_Night])</f>
        <v>6.868936170212768</v>
      </c>
      <c r="V539">
        <f>AVERAGE(Table1[Mental_Health_Score])</f>
        <v>6.2269503546099294</v>
      </c>
    </row>
    <row r="540" spans="1:22" x14ac:dyDescent="0.3">
      <c r="A540">
        <v>539</v>
      </c>
      <c r="B540">
        <v>20</v>
      </c>
      <c r="C540" t="s">
        <v>12</v>
      </c>
      <c r="D540" t="s">
        <v>13</v>
      </c>
      <c r="E540" t="s">
        <v>20</v>
      </c>
      <c r="F540">
        <v>7.1</v>
      </c>
      <c r="G540" t="s">
        <v>142</v>
      </c>
      <c r="H540" t="s">
        <v>16</v>
      </c>
      <c r="I540">
        <v>5.7</v>
      </c>
      <c r="J540">
        <v>5</v>
      </c>
      <c r="K540" t="s">
        <v>17</v>
      </c>
      <c r="L540">
        <v>8</v>
      </c>
      <c r="M540" t="str">
        <f>IF(Table1[[#This Row],[Age]]&lt;=18,"Teen",IF(Table1[[#This Row],[Age]]&lt;=21,"Young Adult","Adult"))</f>
        <v>Young Adult</v>
      </c>
      <c r="N540" t="str">
        <f t="shared" si="40"/>
        <v>Very High</v>
      </c>
      <c r="O540" t="str">
        <f t="shared" si="41"/>
        <v>High</v>
      </c>
      <c r="P540" t="str">
        <f t="shared" si="42"/>
        <v>Poor</v>
      </c>
      <c r="Q540">
        <f t="shared" si="43"/>
        <v>1</v>
      </c>
      <c r="R540" t="str">
        <f t="shared" si="44"/>
        <v>Average</v>
      </c>
      <c r="S540">
        <f>COUNTIF('Students Social Media Addiction'!O:O,"High")/COUNTA(Table1[Student_ID])</f>
        <v>0.5787234042553191</v>
      </c>
      <c r="T540">
        <f>AVERAGE(Table1[Academic Impact Flag])</f>
        <v>0.64255319148936174</v>
      </c>
      <c r="U540">
        <f>AVERAGE(Table1[Sleep_Hours_Per_Night])</f>
        <v>6.868936170212768</v>
      </c>
      <c r="V540">
        <f>AVERAGE(Table1[Mental_Health_Score])</f>
        <v>6.2269503546099294</v>
      </c>
    </row>
    <row r="541" spans="1:22" x14ac:dyDescent="0.3">
      <c r="A541">
        <v>540</v>
      </c>
      <c r="B541">
        <v>22</v>
      </c>
      <c r="C541" t="s">
        <v>18</v>
      </c>
      <c r="D541" t="s">
        <v>19</v>
      </c>
      <c r="E541" t="s">
        <v>30</v>
      </c>
      <c r="F541">
        <v>4.5</v>
      </c>
      <c r="G541" t="s">
        <v>25</v>
      </c>
      <c r="H541" t="s">
        <v>16</v>
      </c>
      <c r="I541">
        <v>7.7</v>
      </c>
      <c r="J541">
        <v>7</v>
      </c>
      <c r="K541" t="s">
        <v>23</v>
      </c>
      <c r="L541">
        <v>6</v>
      </c>
      <c r="M541" t="str">
        <f>IF(Table1[[#This Row],[Age]]&lt;=18,"Teen",IF(Table1[[#This Row],[Age]]&lt;=21,"Young Adult","Adult"))</f>
        <v>Adult</v>
      </c>
      <c r="N541" t="str">
        <f t="shared" si="40"/>
        <v>High</v>
      </c>
      <c r="O541" t="str">
        <f t="shared" si="41"/>
        <v>Medium</v>
      </c>
      <c r="P541" t="str">
        <f t="shared" si="42"/>
        <v>Healthy</v>
      </c>
      <c r="Q541">
        <f t="shared" si="43"/>
        <v>1</v>
      </c>
      <c r="R541" t="str">
        <f t="shared" si="44"/>
        <v>Good</v>
      </c>
      <c r="S541">
        <f>COUNTIF('Students Social Media Addiction'!O:O,"High")/COUNTA(Table1[Student_ID])</f>
        <v>0.5787234042553191</v>
      </c>
      <c r="T541">
        <f>AVERAGE(Table1[Academic Impact Flag])</f>
        <v>0.64255319148936174</v>
      </c>
      <c r="U541">
        <f>AVERAGE(Table1[Sleep_Hours_Per_Night])</f>
        <v>6.868936170212768</v>
      </c>
      <c r="V541">
        <f>AVERAGE(Table1[Mental_Health_Score])</f>
        <v>6.2269503546099294</v>
      </c>
    </row>
    <row r="542" spans="1:22" x14ac:dyDescent="0.3">
      <c r="A542">
        <v>541</v>
      </c>
      <c r="B542">
        <v>19</v>
      </c>
      <c r="C542" t="s">
        <v>12</v>
      </c>
      <c r="D542" t="s">
        <v>13</v>
      </c>
      <c r="E542" t="s">
        <v>35</v>
      </c>
      <c r="F542">
        <v>5.8</v>
      </c>
      <c r="G542" t="s">
        <v>142</v>
      </c>
      <c r="H542" t="s">
        <v>16</v>
      </c>
      <c r="I542">
        <v>6.7</v>
      </c>
      <c r="J542">
        <v>6</v>
      </c>
      <c r="K542" t="s">
        <v>23</v>
      </c>
      <c r="L542">
        <v>7</v>
      </c>
      <c r="M542" t="str">
        <f>IF(Table1[[#This Row],[Age]]&lt;=18,"Teen",IF(Table1[[#This Row],[Age]]&lt;=21,"Young Adult","Adult"))</f>
        <v>Young Adult</v>
      </c>
      <c r="N542" t="str">
        <f t="shared" si="40"/>
        <v>High</v>
      </c>
      <c r="O542" t="str">
        <f t="shared" si="41"/>
        <v>High</v>
      </c>
      <c r="P542" t="str">
        <f t="shared" si="42"/>
        <v>Average</v>
      </c>
      <c r="Q542">
        <f t="shared" si="43"/>
        <v>1</v>
      </c>
      <c r="R542" t="str">
        <f t="shared" si="44"/>
        <v>Average</v>
      </c>
      <c r="S542">
        <f>COUNTIF('Students Social Media Addiction'!O:O,"High")/COUNTA(Table1[Student_ID])</f>
        <v>0.5787234042553191</v>
      </c>
      <c r="T542">
        <f>AVERAGE(Table1[Academic Impact Flag])</f>
        <v>0.64255319148936174</v>
      </c>
      <c r="U542">
        <f>AVERAGE(Table1[Sleep_Hours_Per_Night])</f>
        <v>6.868936170212768</v>
      </c>
      <c r="V542">
        <f>AVERAGE(Table1[Mental_Health_Score])</f>
        <v>6.2269503546099294</v>
      </c>
    </row>
    <row r="543" spans="1:22" x14ac:dyDescent="0.3">
      <c r="A543">
        <v>542</v>
      </c>
      <c r="B543">
        <v>21</v>
      </c>
      <c r="C543" t="s">
        <v>18</v>
      </c>
      <c r="D543" t="s">
        <v>19</v>
      </c>
      <c r="E543" t="s">
        <v>44</v>
      </c>
      <c r="F543">
        <v>4.0999999999999996</v>
      </c>
      <c r="G543" t="s">
        <v>143</v>
      </c>
      <c r="H543" t="s">
        <v>22</v>
      </c>
      <c r="I543">
        <v>8.1999999999999993</v>
      </c>
      <c r="J543">
        <v>7</v>
      </c>
      <c r="K543" t="s">
        <v>17</v>
      </c>
      <c r="L543">
        <v>5</v>
      </c>
      <c r="M543" t="str">
        <f>IF(Table1[[#This Row],[Age]]&lt;=18,"Teen",IF(Table1[[#This Row],[Age]]&lt;=21,"Young Adult","Adult"))</f>
        <v>Young Adult</v>
      </c>
      <c r="N543" t="str">
        <f t="shared" si="40"/>
        <v>High</v>
      </c>
      <c r="O543" t="str">
        <f t="shared" si="41"/>
        <v>Medium</v>
      </c>
      <c r="P543" t="str">
        <f t="shared" si="42"/>
        <v>Healthy</v>
      </c>
      <c r="Q543">
        <f t="shared" si="43"/>
        <v>0</v>
      </c>
      <c r="R543" t="str">
        <f t="shared" si="44"/>
        <v>Good</v>
      </c>
      <c r="S543">
        <f>COUNTIF('Students Social Media Addiction'!O:O,"High")/COUNTA(Table1[Student_ID])</f>
        <v>0.5787234042553191</v>
      </c>
      <c r="T543">
        <f>AVERAGE(Table1[Academic Impact Flag])</f>
        <v>0.64255319148936174</v>
      </c>
      <c r="U543">
        <f>AVERAGE(Table1[Sleep_Hours_Per_Night])</f>
        <v>6.868936170212768</v>
      </c>
      <c r="V543">
        <f>AVERAGE(Table1[Mental_Health_Score])</f>
        <v>6.2269503546099294</v>
      </c>
    </row>
    <row r="544" spans="1:22" x14ac:dyDescent="0.3">
      <c r="A544">
        <v>543</v>
      </c>
      <c r="B544">
        <v>20</v>
      </c>
      <c r="C544" t="s">
        <v>12</v>
      </c>
      <c r="D544" t="s">
        <v>13</v>
      </c>
      <c r="E544" t="s">
        <v>48</v>
      </c>
      <c r="F544">
        <v>3.4</v>
      </c>
      <c r="G544" t="s">
        <v>15</v>
      </c>
      <c r="H544" t="s">
        <v>22</v>
      </c>
      <c r="I544">
        <v>8.6</v>
      </c>
      <c r="J544">
        <v>8</v>
      </c>
      <c r="K544" t="s">
        <v>23</v>
      </c>
      <c r="L544">
        <v>4</v>
      </c>
      <c r="M544" t="str">
        <f>IF(Table1[[#This Row],[Age]]&lt;=18,"Teen",IF(Table1[[#This Row],[Age]]&lt;=21,"Young Adult","Adult"))</f>
        <v>Young Adult</v>
      </c>
      <c r="N544" t="str">
        <f t="shared" si="40"/>
        <v>Moderate</v>
      </c>
      <c r="O544" t="str">
        <f t="shared" si="41"/>
        <v>Medium</v>
      </c>
      <c r="P544" t="str">
        <f t="shared" si="42"/>
        <v>Healthy</v>
      </c>
      <c r="Q544">
        <f t="shared" si="43"/>
        <v>0</v>
      </c>
      <c r="R544" t="str">
        <f t="shared" si="44"/>
        <v>Good</v>
      </c>
      <c r="S544">
        <f>COUNTIF('Students Social Media Addiction'!O:O,"High")/COUNTA(Table1[Student_ID])</f>
        <v>0.5787234042553191</v>
      </c>
      <c r="T544">
        <f>AVERAGE(Table1[Academic Impact Flag])</f>
        <v>0.64255319148936174</v>
      </c>
      <c r="U544">
        <f>AVERAGE(Table1[Sleep_Hours_Per_Night])</f>
        <v>6.868936170212768</v>
      </c>
      <c r="V544">
        <f>AVERAGE(Table1[Mental_Health_Score])</f>
        <v>6.2269503546099294</v>
      </c>
    </row>
    <row r="545" spans="1:22" x14ac:dyDescent="0.3">
      <c r="A545">
        <v>544</v>
      </c>
      <c r="B545">
        <v>22</v>
      </c>
      <c r="C545" t="s">
        <v>18</v>
      </c>
      <c r="D545" t="s">
        <v>19</v>
      </c>
      <c r="E545" t="s">
        <v>55</v>
      </c>
      <c r="F545">
        <v>4.3</v>
      </c>
      <c r="G545" t="s">
        <v>15</v>
      </c>
      <c r="H545" t="s">
        <v>16</v>
      </c>
      <c r="I545">
        <v>7.9</v>
      </c>
      <c r="J545">
        <v>7</v>
      </c>
      <c r="K545" t="s">
        <v>17</v>
      </c>
      <c r="L545">
        <v>6</v>
      </c>
      <c r="M545" t="str">
        <f>IF(Table1[[#This Row],[Age]]&lt;=18,"Teen",IF(Table1[[#This Row],[Age]]&lt;=21,"Young Adult","Adult"))</f>
        <v>Adult</v>
      </c>
      <c r="N545" t="str">
        <f t="shared" si="40"/>
        <v>High</v>
      </c>
      <c r="O545" t="str">
        <f t="shared" si="41"/>
        <v>Medium</v>
      </c>
      <c r="P545" t="str">
        <f t="shared" si="42"/>
        <v>Healthy</v>
      </c>
      <c r="Q545">
        <f t="shared" si="43"/>
        <v>1</v>
      </c>
      <c r="R545" t="str">
        <f t="shared" si="44"/>
        <v>Good</v>
      </c>
      <c r="S545">
        <f>COUNTIF('Students Social Media Addiction'!O:O,"High")/COUNTA(Table1[Student_ID])</f>
        <v>0.5787234042553191</v>
      </c>
      <c r="T545">
        <f>AVERAGE(Table1[Academic Impact Flag])</f>
        <v>0.64255319148936174</v>
      </c>
      <c r="U545">
        <f>AVERAGE(Table1[Sleep_Hours_Per_Night])</f>
        <v>6.868936170212768</v>
      </c>
      <c r="V545">
        <f>AVERAGE(Table1[Mental_Health_Score])</f>
        <v>6.2269503546099294</v>
      </c>
    </row>
    <row r="546" spans="1:22" x14ac:dyDescent="0.3">
      <c r="A546">
        <v>545</v>
      </c>
      <c r="B546">
        <v>19</v>
      </c>
      <c r="C546" t="s">
        <v>12</v>
      </c>
      <c r="D546" t="s">
        <v>13</v>
      </c>
      <c r="E546" t="s">
        <v>56</v>
      </c>
      <c r="F546">
        <v>5.5</v>
      </c>
      <c r="G546" t="s">
        <v>25</v>
      </c>
      <c r="H546" t="s">
        <v>16</v>
      </c>
      <c r="I546">
        <v>6.6</v>
      </c>
      <c r="J546">
        <v>6</v>
      </c>
      <c r="K546" t="s">
        <v>23</v>
      </c>
      <c r="L546">
        <v>7</v>
      </c>
      <c r="M546" t="str">
        <f>IF(Table1[[#This Row],[Age]]&lt;=18,"Teen",IF(Table1[[#This Row],[Age]]&lt;=21,"Young Adult","Adult"))</f>
        <v>Young Adult</v>
      </c>
      <c r="N546" t="str">
        <f t="shared" si="40"/>
        <v>High</v>
      </c>
      <c r="O546" t="str">
        <f t="shared" si="41"/>
        <v>High</v>
      </c>
      <c r="P546" t="str">
        <f t="shared" si="42"/>
        <v>Average</v>
      </c>
      <c r="Q546">
        <f t="shared" si="43"/>
        <v>1</v>
      </c>
      <c r="R546" t="str">
        <f t="shared" si="44"/>
        <v>Average</v>
      </c>
      <c r="S546">
        <f>COUNTIF('Students Social Media Addiction'!O:O,"High")/COUNTA(Table1[Student_ID])</f>
        <v>0.5787234042553191</v>
      </c>
      <c r="T546">
        <f>AVERAGE(Table1[Academic Impact Flag])</f>
        <v>0.64255319148936174</v>
      </c>
      <c r="U546">
        <f>AVERAGE(Table1[Sleep_Hours_Per_Night])</f>
        <v>6.868936170212768</v>
      </c>
      <c r="V546">
        <f>AVERAGE(Table1[Mental_Health_Score])</f>
        <v>6.2269503546099294</v>
      </c>
    </row>
    <row r="547" spans="1:22" x14ac:dyDescent="0.3">
      <c r="A547">
        <v>546</v>
      </c>
      <c r="B547">
        <v>21</v>
      </c>
      <c r="C547" t="s">
        <v>18</v>
      </c>
      <c r="D547" t="s">
        <v>19</v>
      </c>
      <c r="E547" t="s">
        <v>57</v>
      </c>
      <c r="F547">
        <v>5.9</v>
      </c>
      <c r="G547" t="s">
        <v>142</v>
      </c>
      <c r="H547" t="s">
        <v>16</v>
      </c>
      <c r="I547">
        <v>6.4</v>
      </c>
      <c r="J547">
        <v>6</v>
      </c>
      <c r="K547" t="s">
        <v>23</v>
      </c>
      <c r="L547">
        <v>7</v>
      </c>
      <c r="M547" t="str">
        <f>IF(Table1[[#This Row],[Age]]&lt;=18,"Teen",IF(Table1[[#This Row],[Age]]&lt;=21,"Young Adult","Adult"))</f>
        <v>Young Adult</v>
      </c>
      <c r="N547" t="str">
        <f t="shared" si="40"/>
        <v>High</v>
      </c>
      <c r="O547" t="str">
        <f t="shared" si="41"/>
        <v>High</v>
      </c>
      <c r="P547" t="str">
        <f t="shared" si="42"/>
        <v>Average</v>
      </c>
      <c r="Q547">
        <f t="shared" si="43"/>
        <v>1</v>
      </c>
      <c r="R547" t="str">
        <f t="shared" si="44"/>
        <v>Average</v>
      </c>
      <c r="S547">
        <f>COUNTIF('Students Social Media Addiction'!O:O,"High")/COUNTA(Table1[Student_ID])</f>
        <v>0.5787234042553191</v>
      </c>
      <c r="T547">
        <f>AVERAGE(Table1[Academic Impact Flag])</f>
        <v>0.64255319148936174</v>
      </c>
      <c r="U547">
        <f>AVERAGE(Table1[Sleep_Hours_Per_Night])</f>
        <v>6.868936170212768</v>
      </c>
      <c r="V547">
        <f>AVERAGE(Table1[Mental_Health_Score])</f>
        <v>6.2269503546099294</v>
      </c>
    </row>
    <row r="548" spans="1:22" x14ac:dyDescent="0.3">
      <c r="A548">
        <v>547</v>
      </c>
      <c r="B548">
        <v>20</v>
      </c>
      <c r="C548" t="s">
        <v>12</v>
      </c>
      <c r="D548" t="s">
        <v>13</v>
      </c>
      <c r="E548" t="s">
        <v>66</v>
      </c>
      <c r="F548">
        <v>6.9</v>
      </c>
      <c r="G548" t="s">
        <v>15</v>
      </c>
      <c r="H548" t="s">
        <v>16</v>
      </c>
      <c r="I548">
        <v>6.1</v>
      </c>
      <c r="J548">
        <v>5</v>
      </c>
      <c r="K548" t="s">
        <v>17</v>
      </c>
      <c r="L548">
        <v>8</v>
      </c>
      <c r="M548" t="str">
        <f>IF(Table1[[#This Row],[Age]]&lt;=18,"Teen",IF(Table1[[#This Row],[Age]]&lt;=21,"Young Adult","Adult"))</f>
        <v>Young Adult</v>
      </c>
      <c r="N548" t="str">
        <f t="shared" si="40"/>
        <v>Very High</v>
      </c>
      <c r="O548" t="str">
        <f t="shared" si="41"/>
        <v>High</v>
      </c>
      <c r="P548" t="str">
        <f t="shared" si="42"/>
        <v>Average</v>
      </c>
      <c r="Q548">
        <f t="shared" si="43"/>
        <v>1</v>
      </c>
      <c r="R548" t="str">
        <f t="shared" si="44"/>
        <v>Average</v>
      </c>
      <c r="S548">
        <f>COUNTIF('Students Social Media Addiction'!O:O,"High")/COUNTA(Table1[Student_ID])</f>
        <v>0.5787234042553191</v>
      </c>
      <c r="T548">
        <f>AVERAGE(Table1[Academic Impact Flag])</f>
        <v>0.64255319148936174</v>
      </c>
      <c r="U548">
        <f>AVERAGE(Table1[Sleep_Hours_Per_Night])</f>
        <v>6.868936170212768</v>
      </c>
      <c r="V548">
        <f>AVERAGE(Table1[Mental_Health_Score])</f>
        <v>6.2269503546099294</v>
      </c>
    </row>
    <row r="549" spans="1:22" x14ac:dyDescent="0.3">
      <c r="A549">
        <v>548</v>
      </c>
      <c r="B549">
        <v>22</v>
      </c>
      <c r="C549" t="s">
        <v>18</v>
      </c>
      <c r="D549" t="s">
        <v>19</v>
      </c>
      <c r="E549" t="s">
        <v>89</v>
      </c>
      <c r="F549">
        <v>3.8</v>
      </c>
      <c r="G549" t="s">
        <v>31</v>
      </c>
      <c r="H549" t="s">
        <v>22</v>
      </c>
      <c r="I549">
        <v>8.3000000000000007</v>
      </c>
      <c r="J549">
        <v>7</v>
      </c>
      <c r="K549" t="s">
        <v>23</v>
      </c>
      <c r="L549">
        <v>5</v>
      </c>
      <c r="M549" t="str">
        <f>IF(Table1[[#This Row],[Age]]&lt;=18,"Teen",IF(Table1[[#This Row],[Age]]&lt;=21,"Young Adult","Adult"))</f>
        <v>Adult</v>
      </c>
      <c r="N549" t="str">
        <f t="shared" si="40"/>
        <v>Moderate</v>
      </c>
      <c r="O549" t="str">
        <f t="shared" si="41"/>
        <v>Medium</v>
      </c>
      <c r="P549" t="str">
        <f t="shared" si="42"/>
        <v>Healthy</v>
      </c>
      <c r="Q549">
        <f t="shared" si="43"/>
        <v>0</v>
      </c>
      <c r="R549" t="str">
        <f t="shared" si="44"/>
        <v>Good</v>
      </c>
      <c r="S549">
        <f>COUNTIF('Students Social Media Addiction'!O:O,"High")/COUNTA(Table1[Student_ID])</f>
        <v>0.5787234042553191</v>
      </c>
      <c r="T549">
        <f>AVERAGE(Table1[Academic Impact Flag])</f>
        <v>0.64255319148936174</v>
      </c>
      <c r="U549">
        <f>AVERAGE(Table1[Sleep_Hours_Per_Night])</f>
        <v>6.868936170212768</v>
      </c>
      <c r="V549">
        <f>AVERAGE(Table1[Mental_Health_Score])</f>
        <v>6.2269503546099294</v>
      </c>
    </row>
    <row r="550" spans="1:22" x14ac:dyDescent="0.3">
      <c r="A550">
        <v>549</v>
      </c>
      <c r="B550">
        <v>19</v>
      </c>
      <c r="C550" t="s">
        <v>12</v>
      </c>
      <c r="D550" t="s">
        <v>13</v>
      </c>
      <c r="E550" t="s">
        <v>20</v>
      </c>
      <c r="F550">
        <v>7.2</v>
      </c>
      <c r="G550" t="s">
        <v>142</v>
      </c>
      <c r="H550" t="s">
        <v>16</v>
      </c>
      <c r="I550">
        <v>5.6</v>
      </c>
      <c r="J550">
        <v>5</v>
      </c>
      <c r="K550" t="s">
        <v>17</v>
      </c>
      <c r="L550">
        <v>8</v>
      </c>
      <c r="M550" t="str">
        <f>IF(Table1[[#This Row],[Age]]&lt;=18,"Teen",IF(Table1[[#This Row],[Age]]&lt;=21,"Young Adult","Adult"))</f>
        <v>Young Adult</v>
      </c>
      <c r="N550" t="str">
        <f t="shared" si="40"/>
        <v>Very High</v>
      </c>
      <c r="O550" t="str">
        <f t="shared" si="41"/>
        <v>High</v>
      </c>
      <c r="P550" t="str">
        <f t="shared" si="42"/>
        <v>Poor</v>
      </c>
      <c r="Q550">
        <f t="shared" si="43"/>
        <v>1</v>
      </c>
      <c r="R550" t="str">
        <f t="shared" si="44"/>
        <v>Average</v>
      </c>
      <c r="S550">
        <f>COUNTIF('Students Social Media Addiction'!O:O,"High")/COUNTA(Table1[Student_ID])</f>
        <v>0.5787234042553191</v>
      </c>
      <c r="T550">
        <f>AVERAGE(Table1[Academic Impact Flag])</f>
        <v>0.64255319148936174</v>
      </c>
      <c r="U550">
        <f>AVERAGE(Table1[Sleep_Hours_Per_Night])</f>
        <v>6.868936170212768</v>
      </c>
      <c r="V550">
        <f>AVERAGE(Table1[Mental_Health_Score])</f>
        <v>6.2269503546099294</v>
      </c>
    </row>
    <row r="551" spans="1:22" x14ac:dyDescent="0.3">
      <c r="A551">
        <v>550</v>
      </c>
      <c r="B551">
        <v>21</v>
      </c>
      <c r="C551" t="s">
        <v>18</v>
      </c>
      <c r="D551" t="s">
        <v>19</v>
      </c>
      <c r="E551" t="s">
        <v>30</v>
      </c>
      <c r="F551">
        <v>4.4000000000000004</v>
      </c>
      <c r="G551" t="s">
        <v>15</v>
      </c>
      <c r="H551" t="s">
        <v>16</v>
      </c>
      <c r="I551">
        <v>7.8</v>
      </c>
      <c r="J551">
        <v>7</v>
      </c>
      <c r="K551" t="s">
        <v>23</v>
      </c>
      <c r="L551">
        <v>6</v>
      </c>
      <c r="M551" t="str">
        <f>IF(Table1[[#This Row],[Age]]&lt;=18,"Teen",IF(Table1[[#This Row],[Age]]&lt;=21,"Young Adult","Adult"))</f>
        <v>Young Adult</v>
      </c>
      <c r="N551" t="str">
        <f t="shared" si="40"/>
        <v>High</v>
      </c>
      <c r="O551" t="str">
        <f t="shared" si="41"/>
        <v>Medium</v>
      </c>
      <c r="P551" t="str">
        <f t="shared" si="42"/>
        <v>Healthy</v>
      </c>
      <c r="Q551">
        <f t="shared" si="43"/>
        <v>1</v>
      </c>
      <c r="R551" t="str">
        <f t="shared" si="44"/>
        <v>Good</v>
      </c>
      <c r="S551">
        <f>COUNTIF('Students Social Media Addiction'!O:O,"High")/COUNTA(Table1[Student_ID])</f>
        <v>0.5787234042553191</v>
      </c>
      <c r="T551">
        <f>AVERAGE(Table1[Academic Impact Flag])</f>
        <v>0.64255319148936174</v>
      </c>
      <c r="U551">
        <f>AVERAGE(Table1[Sleep_Hours_Per_Night])</f>
        <v>6.868936170212768</v>
      </c>
      <c r="V551">
        <f>AVERAGE(Table1[Mental_Health_Score])</f>
        <v>6.2269503546099294</v>
      </c>
    </row>
    <row r="552" spans="1:22" x14ac:dyDescent="0.3">
      <c r="A552">
        <v>551</v>
      </c>
      <c r="B552">
        <v>20</v>
      </c>
      <c r="C552" t="s">
        <v>12</v>
      </c>
      <c r="D552" t="s">
        <v>13</v>
      </c>
      <c r="E552" t="s">
        <v>35</v>
      </c>
      <c r="F552">
        <v>5.7</v>
      </c>
      <c r="G552" t="s">
        <v>25</v>
      </c>
      <c r="H552" t="s">
        <v>16</v>
      </c>
      <c r="I552">
        <v>6.8</v>
      </c>
      <c r="J552">
        <v>6</v>
      </c>
      <c r="K552" t="s">
        <v>23</v>
      </c>
      <c r="L552">
        <v>7</v>
      </c>
      <c r="M552" t="str">
        <f>IF(Table1[[#This Row],[Age]]&lt;=18,"Teen",IF(Table1[[#This Row],[Age]]&lt;=21,"Young Adult","Adult"))</f>
        <v>Young Adult</v>
      </c>
      <c r="N552" t="str">
        <f t="shared" si="40"/>
        <v>High</v>
      </c>
      <c r="O552" t="str">
        <f t="shared" si="41"/>
        <v>High</v>
      </c>
      <c r="P552" t="str">
        <f t="shared" si="42"/>
        <v>Average</v>
      </c>
      <c r="Q552">
        <f t="shared" si="43"/>
        <v>1</v>
      </c>
      <c r="R552" t="str">
        <f t="shared" si="44"/>
        <v>Average</v>
      </c>
      <c r="S552">
        <f>COUNTIF('Students Social Media Addiction'!O:O,"High")/COUNTA(Table1[Student_ID])</f>
        <v>0.5787234042553191</v>
      </c>
      <c r="T552">
        <f>AVERAGE(Table1[Academic Impact Flag])</f>
        <v>0.64255319148936174</v>
      </c>
      <c r="U552">
        <f>AVERAGE(Table1[Sleep_Hours_Per_Night])</f>
        <v>6.868936170212768</v>
      </c>
      <c r="V552">
        <f>AVERAGE(Table1[Mental_Health_Score])</f>
        <v>6.2269503546099294</v>
      </c>
    </row>
    <row r="553" spans="1:22" x14ac:dyDescent="0.3">
      <c r="A553">
        <v>552</v>
      </c>
      <c r="B553">
        <v>22</v>
      </c>
      <c r="C553" t="s">
        <v>18</v>
      </c>
      <c r="D553" t="s">
        <v>19</v>
      </c>
      <c r="E553" t="s">
        <v>44</v>
      </c>
      <c r="F553">
        <v>4</v>
      </c>
      <c r="G553" t="s">
        <v>143</v>
      </c>
      <c r="H553" t="s">
        <v>22</v>
      </c>
      <c r="I553">
        <v>8.3000000000000007</v>
      </c>
      <c r="J553">
        <v>7</v>
      </c>
      <c r="K553" t="s">
        <v>17</v>
      </c>
      <c r="L553">
        <v>5</v>
      </c>
      <c r="M553" t="str">
        <f>IF(Table1[[#This Row],[Age]]&lt;=18,"Teen",IF(Table1[[#This Row],[Age]]&lt;=21,"Young Adult","Adult"))</f>
        <v>Adult</v>
      </c>
      <c r="N553" t="str">
        <f t="shared" si="40"/>
        <v>High</v>
      </c>
      <c r="O553" t="str">
        <f t="shared" si="41"/>
        <v>Medium</v>
      </c>
      <c r="P553" t="str">
        <f t="shared" si="42"/>
        <v>Healthy</v>
      </c>
      <c r="Q553">
        <f t="shared" si="43"/>
        <v>0</v>
      </c>
      <c r="R553" t="str">
        <f t="shared" si="44"/>
        <v>Good</v>
      </c>
      <c r="S553">
        <f>COUNTIF('Students Social Media Addiction'!O:O,"High")/COUNTA(Table1[Student_ID])</f>
        <v>0.5787234042553191</v>
      </c>
      <c r="T553">
        <f>AVERAGE(Table1[Academic Impact Flag])</f>
        <v>0.64255319148936174</v>
      </c>
      <c r="U553">
        <f>AVERAGE(Table1[Sleep_Hours_Per_Night])</f>
        <v>6.868936170212768</v>
      </c>
      <c r="V553">
        <f>AVERAGE(Table1[Mental_Health_Score])</f>
        <v>6.2269503546099294</v>
      </c>
    </row>
    <row r="554" spans="1:22" x14ac:dyDescent="0.3">
      <c r="A554">
        <v>553</v>
      </c>
      <c r="B554">
        <v>19</v>
      </c>
      <c r="C554" t="s">
        <v>12</v>
      </c>
      <c r="D554" t="s">
        <v>13</v>
      </c>
      <c r="E554" t="s">
        <v>48</v>
      </c>
      <c r="F554">
        <v>3.3</v>
      </c>
      <c r="G554" t="s">
        <v>15</v>
      </c>
      <c r="H554" t="s">
        <v>22</v>
      </c>
      <c r="I554">
        <v>8.6999999999999993</v>
      </c>
      <c r="J554">
        <v>8</v>
      </c>
      <c r="K554" t="s">
        <v>23</v>
      </c>
      <c r="L554">
        <v>4</v>
      </c>
      <c r="M554" t="str">
        <f>IF(Table1[[#This Row],[Age]]&lt;=18,"Teen",IF(Table1[[#This Row],[Age]]&lt;=21,"Young Adult","Adult"))</f>
        <v>Young Adult</v>
      </c>
      <c r="N554" t="str">
        <f t="shared" si="40"/>
        <v>Moderate</v>
      </c>
      <c r="O554" t="str">
        <f t="shared" si="41"/>
        <v>Medium</v>
      </c>
      <c r="P554" t="str">
        <f t="shared" si="42"/>
        <v>Healthy</v>
      </c>
      <c r="Q554">
        <f t="shared" si="43"/>
        <v>0</v>
      </c>
      <c r="R554" t="str">
        <f t="shared" si="44"/>
        <v>Good</v>
      </c>
      <c r="S554">
        <f>COUNTIF('Students Social Media Addiction'!O:O,"High")/COUNTA(Table1[Student_ID])</f>
        <v>0.5787234042553191</v>
      </c>
      <c r="T554">
        <f>AVERAGE(Table1[Academic Impact Flag])</f>
        <v>0.64255319148936174</v>
      </c>
      <c r="U554">
        <f>AVERAGE(Table1[Sleep_Hours_Per_Night])</f>
        <v>6.868936170212768</v>
      </c>
      <c r="V554">
        <f>AVERAGE(Table1[Mental_Health_Score])</f>
        <v>6.2269503546099294</v>
      </c>
    </row>
    <row r="555" spans="1:22" x14ac:dyDescent="0.3">
      <c r="A555">
        <v>554</v>
      </c>
      <c r="B555">
        <v>21</v>
      </c>
      <c r="C555" t="s">
        <v>18</v>
      </c>
      <c r="D555" t="s">
        <v>19</v>
      </c>
      <c r="E555" t="s">
        <v>55</v>
      </c>
      <c r="F555">
        <v>4.2</v>
      </c>
      <c r="G555" t="s">
        <v>31</v>
      </c>
      <c r="H555" t="s">
        <v>16</v>
      </c>
      <c r="I555">
        <v>8</v>
      </c>
      <c r="J555">
        <v>7</v>
      </c>
      <c r="K555" t="s">
        <v>17</v>
      </c>
      <c r="L555">
        <v>6</v>
      </c>
      <c r="M555" t="str">
        <f>IF(Table1[[#This Row],[Age]]&lt;=18,"Teen",IF(Table1[[#This Row],[Age]]&lt;=21,"Young Adult","Adult"))</f>
        <v>Young Adult</v>
      </c>
      <c r="N555" t="str">
        <f t="shared" si="40"/>
        <v>High</v>
      </c>
      <c r="O555" t="str">
        <f t="shared" si="41"/>
        <v>Medium</v>
      </c>
      <c r="P555" t="str">
        <f t="shared" si="42"/>
        <v>Healthy</v>
      </c>
      <c r="Q555">
        <f t="shared" si="43"/>
        <v>1</v>
      </c>
      <c r="R555" t="str">
        <f t="shared" si="44"/>
        <v>Good</v>
      </c>
      <c r="S555">
        <f>COUNTIF('Students Social Media Addiction'!O:O,"High")/COUNTA(Table1[Student_ID])</f>
        <v>0.5787234042553191</v>
      </c>
      <c r="T555">
        <f>AVERAGE(Table1[Academic Impact Flag])</f>
        <v>0.64255319148936174</v>
      </c>
      <c r="U555">
        <f>AVERAGE(Table1[Sleep_Hours_Per_Night])</f>
        <v>6.868936170212768</v>
      </c>
      <c r="V555">
        <f>AVERAGE(Table1[Mental_Health_Score])</f>
        <v>6.2269503546099294</v>
      </c>
    </row>
    <row r="556" spans="1:22" x14ac:dyDescent="0.3">
      <c r="A556">
        <v>555</v>
      </c>
      <c r="B556">
        <v>20</v>
      </c>
      <c r="C556" t="s">
        <v>12</v>
      </c>
      <c r="D556" t="s">
        <v>13</v>
      </c>
      <c r="E556" t="s">
        <v>56</v>
      </c>
      <c r="F556">
        <v>5.6</v>
      </c>
      <c r="G556" t="s">
        <v>25</v>
      </c>
      <c r="H556" t="s">
        <v>16</v>
      </c>
      <c r="I556">
        <v>6.5</v>
      </c>
      <c r="J556">
        <v>6</v>
      </c>
      <c r="K556" t="s">
        <v>23</v>
      </c>
      <c r="L556">
        <v>7</v>
      </c>
      <c r="M556" t="str">
        <f>IF(Table1[[#This Row],[Age]]&lt;=18,"Teen",IF(Table1[[#This Row],[Age]]&lt;=21,"Young Adult","Adult"))</f>
        <v>Young Adult</v>
      </c>
      <c r="N556" t="str">
        <f t="shared" si="40"/>
        <v>High</v>
      </c>
      <c r="O556" t="str">
        <f t="shared" si="41"/>
        <v>High</v>
      </c>
      <c r="P556" t="str">
        <f t="shared" si="42"/>
        <v>Average</v>
      </c>
      <c r="Q556">
        <f t="shared" si="43"/>
        <v>1</v>
      </c>
      <c r="R556" t="str">
        <f t="shared" si="44"/>
        <v>Average</v>
      </c>
      <c r="S556">
        <f>COUNTIF('Students Social Media Addiction'!O:O,"High")/COUNTA(Table1[Student_ID])</f>
        <v>0.5787234042553191</v>
      </c>
      <c r="T556">
        <f>AVERAGE(Table1[Academic Impact Flag])</f>
        <v>0.64255319148936174</v>
      </c>
      <c r="U556">
        <f>AVERAGE(Table1[Sleep_Hours_Per_Night])</f>
        <v>6.868936170212768</v>
      </c>
      <c r="V556">
        <f>AVERAGE(Table1[Mental_Health_Score])</f>
        <v>6.2269503546099294</v>
      </c>
    </row>
    <row r="557" spans="1:22" x14ac:dyDescent="0.3">
      <c r="A557">
        <v>556</v>
      </c>
      <c r="B557">
        <v>22</v>
      </c>
      <c r="C557" t="s">
        <v>18</v>
      </c>
      <c r="D557" t="s">
        <v>19</v>
      </c>
      <c r="E557" t="s">
        <v>57</v>
      </c>
      <c r="F557">
        <v>6</v>
      </c>
      <c r="G557" t="s">
        <v>142</v>
      </c>
      <c r="H557" t="s">
        <v>16</v>
      </c>
      <c r="I557">
        <v>6.3</v>
      </c>
      <c r="J557">
        <v>6</v>
      </c>
      <c r="K557" t="s">
        <v>23</v>
      </c>
      <c r="L557">
        <v>7</v>
      </c>
      <c r="M557" t="str">
        <f>IF(Table1[[#This Row],[Age]]&lt;=18,"Teen",IF(Table1[[#This Row],[Age]]&lt;=21,"Young Adult","Adult"))</f>
        <v>Adult</v>
      </c>
      <c r="N557" t="str">
        <f t="shared" si="40"/>
        <v>Very High</v>
      </c>
      <c r="O557" t="str">
        <f t="shared" si="41"/>
        <v>High</v>
      </c>
      <c r="P557" t="str">
        <f t="shared" si="42"/>
        <v>Average</v>
      </c>
      <c r="Q557">
        <f t="shared" si="43"/>
        <v>1</v>
      </c>
      <c r="R557" t="str">
        <f t="shared" si="44"/>
        <v>Average</v>
      </c>
      <c r="S557">
        <f>COUNTIF('Students Social Media Addiction'!O:O,"High")/COUNTA(Table1[Student_ID])</f>
        <v>0.5787234042553191</v>
      </c>
      <c r="T557">
        <f>AVERAGE(Table1[Academic Impact Flag])</f>
        <v>0.64255319148936174</v>
      </c>
      <c r="U557">
        <f>AVERAGE(Table1[Sleep_Hours_Per_Night])</f>
        <v>6.868936170212768</v>
      </c>
      <c r="V557">
        <f>AVERAGE(Table1[Mental_Health_Score])</f>
        <v>6.2269503546099294</v>
      </c>
    </row>
    <row r="558" spans="1:22" x14ac:dyDescent="0.3">
      <c r="A558">
        <v>557</v>
      </c>
      <c r="B558">
        <v>19</v>
      </c>
      <c r="C558" t="s">
        <v>12</v>
      </c>
      <c r="D558" t="s">
        <v>13</v>
      </c>
      <c r="E558" t="s">
        <v>66</v>
      </c>
      <c r="F558">
        <v>7</v>
      </c>
      <c r="G558" t="s">
        <v>15</v>
      </c>
      <c r="H558" t="s">
        <v>16</v>
      </c>
      <c r="I558">
        <v>6</v>
      </c>
      <c r="J558">
        <v>5</v>
      </c>
      <c r="K558" t="s">
        <v>17</v>
      </c>
      <c r="L558">
        <v>8</v>
      </c>
      <c r="M558" t="str">
        <f>IF(Table1[[#This Row],[Age]]&lt;=18,"Teen",IF(Table1[[#This Row],[Age]]&lt;=21,"Young Adult","Adult"))</f>
        <v>Young Adult</v>
      </c>
      <c r="N558" t="str">
        <f t="shared" si="40"/>
        <v>Very High</v>
      </c>
      <c r="O558" t="str">
        <f t="shared" si="41"/>
        <v>High</v>
      </c>
      <c r="P558" t="str">
        <f t="shared" si="42"/>
        <v>Average</v>
      </c>
      <c r="Q558">
        <f t="shared" si="43"/>
        <v>1</v>
      </c>
      <c r="R558" t="str">
        <f t="shared" si="44"/>
        <v>Average</v>
      </c>
      <c r="S558">
        <f>COUNTIF('Students Social Media Addiction'!O:O,"High")/COUNTA(Table1[Student_ID])</f>
        <v>0.5787234042553191</v>
      </c>
      <c r="T558">
        <f>AVERAGE(Table1[Academic Impact Flag])</f>
        <v>0.64255319148936174</v>
      </c>
      <c r="U558">
        <f>AVERAGE(Table1[Sleep_Hours_Per_Night])</f>
        <v>6.868936170212768</v>
      </c>
      <c r="V558">
        <f>AVERAGE(Table1[Mental_Health_Score])</f>
        <v>6.2269503546099294</v>
      </c>
    </row>
    <row r="559" spans="1:22" x14ac:dyDescent="0.3">
      <c r="A559">
        <v>558</v>
      </c>
      <c r="B559">
        <v>21</v>
      </c>
      <c r="C559" t="s">
        <v>18</v>
      </c>
      <c r="D559" t="s">
        <v>19</v>
      </c>
      <c r="E559" t="s">
        <v>89</v>
      </c>
      <c r="F559">
        <v>3.7</v>
      </c>
      <c r="G559" t="s">
        <v>31</v>
      </c>
      <c r="H559" t="s">
        <v>22</v>
      </c>
      <c r="I559">
        <v>8.4</v>
      </c>
      <c r="J559">
        <v>7</v>
      </c>
      <c r="K559" t="s">
        <v>23</v>
      </c>
      <c r="L559">
        <v>5</v>
      </c>
      <c r="M559" t="str">
        <f>IF(Table1[[#This Row],[Age]]&lt;=18,"Teen",IF(Table1[[#This Row],[Age]]&lt;=21,"Young Adult","Adult"))</f>
        <v>Young Adult</v>
      </c>
      <c r="N559" t="str">
        <f t="shared" si="40"/>
        <v>Moderate</v>
      </c>
      <c r="O559" t="str">
        <f t="shared" si="41"/>
        <v>Medium</v>
      </c>
      <c r="P559" t="str">
        <f t="shared" si="42"/>
        <v>Healthy</v>
      </c>
      <c r="Q559">
        <f t="shared" si="43"/>
        <v>0</v>
      </c>
      <c r="R559" t="str">
        <f t="shared" si="44"/>
        <v>Good</v>
      </c>
      <c r="S559">
        <f>COUNTIF('Students Social Media Addiction'!O:O,"High")/COUNTA(Table1[Student_ID])</f>
        <v>0.5787234042553191</v>
      </c>
      <c r="T559">
        <f>AVERAGE(Table1[Academic Impact Flag])</f>
        <v>0.64255319148936174</v>
      </c>
      <c r="U559">
        <f>AVERAGE(Table1[Sleep_Hours_Per_Night])</f>
        <v>6.868936170212768</v>
      </c>
      <c r="V559">
        <f>AVERAGE(Table1[Mental_Health_Score])</f>
        <v>6.2269503546099294</v>
      </c>
    </row>
    <row r="560" spans="1:22" x14ac:dyDescent="0.3">
      <c r="A560">
        <v>559</v>
      </c>
      <c r="B560">
        <v>20</v>
      </c>
      <c r="C560" t="s">
        <v>12</v>
      </c>
      <c r="D560" t="s">
        <v>13</v>
      </c>
      <c r="E560" t="s">
        <v>20</v>
      </c>
      <c r="F560">
        <v>7.3</v>
      </c>
      <c r="G560" t="s">
        <v>142</v>
      </c>
      <c r="H560" t="s">
        <v>16</v>
      </c>
      <c r="I560">
        <v>5.5</v>
      </c>
      <c r="J560">
        <v>5</v>
      </c>
      <c r="K560" t="s">
        <v>17</v>
      </c>
      <c r="L560">
        <v>8</v>
      </c>
      <c r="M560" t="str">
        <f>IF(Table1[[#This Row],[Age]]&lt;=18,"Teen",IF(Table1[[#This Row],[Age]]&lt;=21,"Young Adult","Adult"))</f>
        <v>Young Adult</v>
      </c>
      <c r="N560" t="str">
        <f t="shared" si="40"/>
        <v>Very High</v>
      </c>
      <c r="O560" t="str">
        <f t="shared" si="41"/>
        <v>High</v>
      </c>
      <c r="P560" t="str">
        <f t="shared" si="42"/>
        <v>Poor</v>
      </c>
      <c r="Q560">
        <f t="shared" si="43"/>
        <v>1</v>
      </c>
      <c r="R560" t="str">
        <f t="shared" si="44"/>
        <v>Average</v>
      </c>
      <c r="S560">
        <f>COUNTIF('Students Social Media Addiction'!O:O,"High")/COUNTA(Table1[Student_ID])</f>
        <v>0.5787234042553191</v>
      </c>
      <c r="T560">
        <f>AVERAGE(Table1[Academic Impact Flag])</f>
        <v>0.64255319148936174</v>
      </c>
      <c r="U560">
        <f>AVERAGE(Table1[Sleep_Hours_Per_Night])</f>
        <v>6.868936170212768</v>
      </c>
      <c r="V560">
        <f>AVERAGE(Table1[Mental_Health_Score])</f>
        <v>6.2269503546099294</v>
      </c>
    </row>
    <row r="561" spans="1:22" x14ac:dyDescent="0.3">
      <c r="A561">
        <v>560</v>
      </c>
      <c r="B561">
        <v>22</v>
      </c>
      <c r="C561" t="s">
        <v>18</v>
      </c>
      <c r="D561" t="s">
        <v>19</v>
      </c>
      <c r="E561" t="s">
        <v>30</v>
      </c>
      <c r="F561">
        <v>4.3</v>
      </c>
      <c r="G561" t="s">
        <v>25</v>
      </c>
      <c r="H561" t="s">
        <v>16</v>
      </c>
      <c r="I561">
        <v>7.9</v>
      </c>
      <c r="J561">
        <v>7</v>
      </c>
      <c r="K561" t="s">
        <v>23</v>
      </c>
      <c r="L561">
        <v>6</v>
      </c>
      <c r="M561" t="str">
        <f>IF(Table1[[#This Row],[Age]]&lt;=18,"Teen",IF(Table1[[#This Row],[Age]]&lt;=21,"Young Adult","Adult"))</f>
        <v>Adult</v>
      </c>
      <c r="N561" t="str">
        <f t="shared" si="40"/>
        <v>High</v>
      </c>
      <c r="O561" t="str">
        <f t="shared" si="41"/>
        <v>Medium</v>
      </c>
      <c r="P561" t="str">
        <f t="shared" si="42"/>
        <v>Healthy</v>
      </c>
      <c r="Q561">
        <f t="shared" si="43"/>
        <v>1</v>
      </c>
      <c r="R561" t="str">
        <f t="shared" si="44"/>
        <v>Good</v>
      </c>
      <c r="S561">
        <f>COUNTIF('Students Social Media Addiction'!O:O,"High")/COUNTA(Table1[Student_ID])</f>
        <v>0.5787234042553191</v>
      </c>
      <c r="T561">
        <f>AVERAGE(Table1[Academic Impact Flag])</f>
        <v>0.64255319148936174</v>
      </c>
      <c r="U561">
        <f>AVERAGE(Table1[Sleep_Hours_Per_Night])</f>
        <v>6.868936170212768</v>
      </c>
      <c r="V561">
        <f>AVERAGE(Table1[Mental_Health_Score])</f>
        <v>6.2269503546099294</v>
      </c>
    </row>
    <row r="562" spans="1:22" x14ac:dyDescent="0.3">
      <c r="A562">
        <v>561</v>
      </c>
      <c r="B562">
        <v>19</v>
      </c>
      <c r="C562" t="s">
        <v>12</v>
      </c>
      <c r="D562" t="s">
        <v>13</v>
      </c>
      <c r="E562" t="s">
        <v>35</v>
      </c>
      <c r="F562">
        <v>5.6</v>
      </c>
      <c r="G562" t="s">
        <v>142</v>
      </c>
      <c r="H562" t="s">
        <v>16</v>
      </c>
      <c r="I562">
        <v>6.9</v>
      </c>
      <c r="J562">
        <v>6</v>
      </c>
      <c r="K562" t="s">
        <v>23</v>
      </c>
      <c r="L562">
        <v>7</v>
      </c>
      <c r="M562" t="str">
        <f>IF(Table1[[#This Row],[Age]]&lt;=18,"Teen",IF(Table1[[#This Row],[Age]]&lt;=21,"Young Adult","Adult"))</f>
        <v>Young Adult</v>
      </c>
      <c r="N562" t="str">
        <f t="shared" si="40"/>
        <v>High</v>
      </c>
      <c r="O562" t="str">
        <f t="shared" si="41"/>
        <v>High</v>
      </c>
      <c r="P562" t="str">
        <f t="shared" si="42"/>
        <v>Average</v>
      </c>
      <c r="Q562">
        <f t="shared" si="43"/>
        <v>1</v>
      </c>
      <c r="R562" t="str">
        <f t="shared" si="44"/>
        <v>Average</v>
      </c>
      <c r="S562">
        <f>COUNTIF('Students Social Media Addiction'!O:O,"High")/COUNTA(Table1[Student_ID])</f>
        <v>0.5787234042553191</v>
      </c>
      <c r="T562">
        <f>AVERAGE(Table1[Academic Impact Flag])</f>
        <v>0.64255319148936174</v>
      </c>
      <c r="U562">
        <f>AVERAGE(Table1[Sleep_Hours_Per_Night])</f>
        <v>6.868936170212768</v>
      </c>
      <c r="V562">
        <f>AVERAGE(Table1[Mental_Health_Score])</f>
        <v>6.2269503546099294</v>
      </c>
    </row>
    <row r="563" spans="1:22" x14ac:dyDescent="0.3">
      <c r="A563">
        <v>562</v>
      </c>
      <c r="B563">
        <v>21</v>
      </c>
      <c r="C563" t="s">
        <v>18</v>
      </c>
      <c r="D563" t="s">
        <v>19</v>
      </c>
      <c r="E563" t="s">
        <v>44</v>
      </c>
      <c r="F563">
        <v>3.9</v>
      </c>
      <c r="G563" t="s">
        <v>143</v>
      </c>
      <c r="H563" t="s">
        <v>22</v>
      </c>
      <c r="I563">
        <v>8.4</v>
      </c>
      <c r="J563">
        <v>7</v>
      </c>
      <c r="K563" t="s">
        <v>17</v>
      </c>
      <c r="L563">
        <v>5</v>
      </c>
      <c r="M563" t="str">
        <f>IF(Table1[[#This Row],[Age]]&lt;=18,"Teen",IF(Table1[[#This Row],[Age]]&lt;=21,"Young Adult","Adult"))</f>
        <v>Young Adult</v>
      </c>
      <c r="N563" t="str">
        <f t="shared" si="40"/>
        <v>Moderate</v>
      </c>
      <c r="O563" t="str">
        <f t="shared" si="41"/>
        <v>Medium</v>
      </c>
      <c r="P563" t="str">
        <f t="shared" si="42"/>
        <v>Healthy</v>
      </c>
      <c r="Q563">
        <f t="shared" si="43"/>
        <v>0</v>
      </c>
      <c r="R563" t="str">
        <f t="shared" si="44"/>
        <v>Good</v>
      </c>
      <c r="S563">
        <f>COUNTIF('Students Social Media Addiction'!O:O,"High")/COUNTA(Table1[Student_ID])</f>
        <v>0.5787234042553191</v>
      </c>
      <c r="T563">
        <f>AVERAGE(Table1[Academic Impact Flag])</f>
        <v>0.64255319148936174</v>
      </c>
      <c r="U563">
        <f>AVERAGE(Table1[Sleep_Hours_Per_Night])</f>
        <v>6.868936170212768</v>
      </c>
      <c r="V563">
        <f>AVERAGE(Table1[Mental_Health_Score])</f>
        <v>6.2269503546099294</v>
      </c>
    </row>
    <row r="564" spans="1:22" x14ac:dyDescent="0.3">
      <c r="A564">
        <v>563</v>
      </c>
      <c r="B564">
        <v>20</v>
      </c>
      <c r="C564" t="s">
        <v>12</v>
      </c>
      <c r="D564" t="s">
        <v>13</v>
      </c>
      <c r="E564" t="s">
        <v>48</v>
      </c>
      <c r="F564">
        <v>3.2</v>
      </c>
      <c r="G564" t="s">
        <v>15</v>
      </c>
      <c r="H564" t="s">
        <v>22</v>
      </c>
      <c r="I564">
        <v>8.8000000000000007</v>
      </c>
      <c r="J564">
        <v>8</v>
      </c>
      <c r="K564" t="s">
        <v>23</v>
      </c>
      <c r="L564">
        <v>4</v>
      </c>
      <c r="M564" t="str">
        <f>IF(Table1[[#This Row],[Age]]&lt;=18,"Teen",IF(Table1[[#This Row],[Age]]&lt;=21,"Young Adult","Adult"))</f>
        <v>Young Adult</v>
      </c>
      <c r="N564" t="str">
        <f t="shared" si="40"/>
        <v>Moderate</v>
      </c>
      <c r="O564" t="str">
        <f t="shared" si="41"/>
        <v>Medium</v>
      </c>
      <c r="P564" t="str">
        <f t="shared" si="42"/>
        <v>Healthy</v>
      </c>
      <c r="Q564">
        <f t="shared" si="43"/>
        <v>0</v>
      </c>
      <c r="R564" t="str">
        <f t="shared" si="44"/>
        <v>Good</v>
      </c>
      <c r="S564">
        <f>COUNTIF('Students Social Media Addiction'!O:O,"High")/COUNTA(Table1[Student_ID])</f>
        <v>0.5787234042553191</v>
      </c>
      <c r="T564">
        <f>AVERAGE(Table1[Academic Impact Flag])</f>
        <v>0.64255319148936174</v>
      </c>
      <c r="U564">
        <f>AVERAGE(Table1[Sleep_Hours_Per_Night])</f>
        <v>6.868936170212768</v>
      </c>
      <c r="V564">
        <f>AVERAGE(Table1[Mental_Health_Score])</f>
        <v>6.2269503546099294</v>
      </c>
    </row>
    <row r="565" spans="1:22" x14ac:dyDescent="0.3">
      <c r="A565">
        <v>564</v>
      </c>
      <c r="B565">
        <v>22</v>
      </c>
      <c r="C565" t="s">
        <v>18</v>
      </c>
      <c r="D565" t="s">
        <v>19</v>
      </c>
      <c r="E565" t="s">
        <v>55</v>
      </c>
      <c r="F565">
        <v>4.0999999999999996</v>
      </c>
      <c r="G565" t="s">
        <v>15</v>
      </c>
      <c r="H565" t="s">
        <v>16</v>
      </c>
      <c r="I565">
        <v>8.1</v>
      </c>
      <c r="J565">
        <v>7</v>
      </c>
      <c r="K565" t="s">
        <v>17</v>
      </c>
      <c r="L565">
        <v>6</v>
      </c>
      <c r="M565" t="str">
        <f>IF(Table1[[#This Row],[Age]]&lt;=18,"Teen",IF(Table1[[#This Row],[Age]]&lt;=21,"Young Adult","Adult"))</f>
        <v>Adult</v>
      </c>
      <c r="N565" t="str">
        <f t="shared" si="40"/>
        <v>High</v>
      </c>
      <c r="O565" t="str">
        <f t="shared" si="41"/>
        <v>Medium</v>
      </c>
      <c r="P565" t="str">
        <f t="shared" si="42"/>
        <v>Healthy</v>
      </c>
      <c r="Q565">
        <f t="shared" si="43"/>
        <v>1</v>
      </c>
      <c r="R565" t="str">
        <f t="shared" si="44"/>
        <v>Good</v>
      </c>
      <c r="S565">
        <f>COUNTIF('Students Social Media Addiction'!O:O,"High")/COUNTA(Table1[Student_ID])</f>
        <v>0.5787234042553191</v>
      </c>
      <c r="T565">
        <f>AVERAGE(Table1[Academic Impact Flag])</f>
        <v>0.64255319148936174</v>
      </c>
      <c r="U565">
        <f>AVERAGE(Table1[Sleep_Hours_Per_Night])</f>
        <v>6.868936170212768</v>
      </c>
      <c r="V565">
        <f>AVERAGE(Table1[Mental_Health_Score])</f>
        <v>6.2269503546099294</v>
      </c>
    </row>
    <row r="566" spans="1:22" x14ac:dyDescent="0.3">
      <c r="A566">
        <v>565</v>
      </c>
      <c r="B566">
        <v>19</v>
      </c>
      <c r="C566" t="s">
        <v>12</v>
      </c>
      <c r="D566" t="s">
        <v>13</v>
      </c>
      <c r="E566" t="s">
        <v>56</v>
      </c>
      <c r="F566">
        <v>5.7</v>
      </c>
      <c r="G566" t="s">
        <v>25</v>
      </c>
      <c r="H566" t="s">
        <v>16</v>
      </c>
      <c r="I566">
        <v>6.4</v>
      </c>
      <c r="J566">
        <v>6</v>
      </c>
      <c r="K566" t="s">
        <v>23</v>
      </c>
      <c r="L566">
        <v>7</v>
      </c>
      <c r="M566" t="str">
        <f>IF(Table1[[#This Row],[Age]]&lt;=18,"Teen",IF(Table1[[#This Row],[Age]]&lt;=21,"Young Adult","Adult"))</f>
        <v>Young Adult</v>
      </c>
      <c r="N566" t="str">
        <f t="shared" si="40"/>
        <v>High</v>
      </c>
      <c r="O566" t="str">
        <f t="shared" si="41"/>
        <v>High</v>
      </c>
      <c r="P566" t="str">
        <f t="shared" si="42"/>
        <v>Average</v>
      </c>
      <c r="Q566">
        <f t="shared" si="43"/>
        <v>1</v>
      </c>
      <c r="R566" t="str">
        <f t="shared" si="44"/>
        <v>Average</v>
      </c>
      <c r="S566">
        <f>COUNTIF('Students Social Media Addiction'!O:O,"High")/COUNTA(Table1[Student_ID])</f>
        <v>0.5787234042553191</v>
      </c>
      <c r="T566">
        <f>AVERAGE(Table1[Academic Impact Flag])</f>
        <v>0.64255319148936174</v>
      </c>
      <c r="U566">
        <f>AVERAGE(Table1[Sleep_Hours_Per_Night])</f>
        <v>6.868936170212768</v>
      </c>
      <c r="V566">
        <f>AVERAGE(Table1[Mental_Health_Score])</f>
        <v>6.2269503546099294</v>
      </c>
    </row>
    <row r="567" spans="1:22" x14ac:dyDescent="0.3">
      <c r="A567">
        <v>566</v>
      </c>
      <c r="B567">
        <v>21</v>
      </c>
      <c r="C567" t="s">
        <v>18</v>
      </c>
      <c r="D567" t="s">
        <v>19</v>
      </c>
      <c r="E567" t="s">
        <v>57</v>
      </c>
      <c r="F567">
        <v>6.1</v>
      </c>
      <c r="G567" t="s">
        <v>142</v>
      </c>
      <c r="H567" t="s">
        <v>16</v>
      </c>
      <c r="I567">
        <v>6.2</v>
      </c>
      <c r="J567">
        <v>6</v>
      </c>
      <c r="K567" t="s">
        <v>23</v>
      </c>
      <c r="L567">
        <v>7</v>
      </c>
      <c r="M567" t="str">
        <f>IF(Table1[[#This Row],[Age]]&lt;=18,"Teen",IF(Table1[[#This Row],[Age]]&lt;=21,"Young Adult","Adult"))</f>
        <v>Young Adult</v>
      </c>
      <c r="N567" t="str">
        <f t="shared" si="40"/>
        <v>Very High</v>
      </c>
      <c r="O567" t="str">
        <f t="shared" si="41"/>
        <v>High</v>
      </c>
      <c r="P567" t="str">
        <f t="shared" si="42"/>
        <v>Average</v>
      </c>
      <c r="Q567">
        <f t="shared" si="43"/>
        <v>1</v>
      </c>
      <c r="R567" t="str">
        <f t="shared" si="44"/>
        <v>Average</v>
      </c>
      <c r="S567">
        <f>COUNTIF('Students Social Media Addiction'!O:O,"High")/COUNTA(Table1[Student_ID])</f>
        <v>0.5787234042553191</v>
      </c>
      <c r="T567">
        <f>AVERAGE(Table1[Academic Impact Flag])</f>
        <v>0.64255319148936174</v>
      </c>
      <c r="U567">
        <f>AVERAGE(Table1[Sleep_Hours_Per_Night])</f>
        <v>6.868936170212768</v>
      </c>
      <c r="V567">
        <f>AVERAGE(Table1[Mental_Health_Score])</f>
        <v>6.2269503546099294</v>
      </c>
    </row>
    <row r="568" spans="1:22" x14ac:dyDescent="0.3">
      <c r="A568">
        <v>567</v>
      </c>
      <c r="B568">
        <v>20</v>
      </c>
      <c r="C568" t="s">
        <v>12</v>
      </c>
      <c r="D568" t="s">
        <v>13</v>
      </c>
      <c r="E568" t="s">
        <v>66</v>
      </c>
      <c r="F568">
        <v>7.1</v>
      </c>
      <c r="G568" t="s">
        <v>15</v>
      </c>
      <c r="H568" t="s">
        <v>16</v>
      </c>
      <c r="I568">
        <v>5.9</v>
      </c>
      <c r="J568">
        <v>5</v>
      </c>
      <c r="K568" t="s">
        <v>17</v>
      </c>
      <c r="L568">
        <v>8</v>
      </c>
      <c r="M568" t="str">
        <f>IF(Table1[[#This Row],[Age]]&lt;=18,"Teen",IF(Table1[[#This Row],[Age]]&lt;=21,"Young Adult","Adult"))</f>
        <v>Young Adult</v>
      </c>
      <c r="N568" t="str">
        <f t="shared" si="40"/>
        <v>Very High</v>
      </c>
      <c r="O568" t="str">
        <f t="shared" si="41"/>
        <v>High</v>
      </c>
      <c r="P568" t="str">
        <f t="shared" si="42"/>
        <v>Poor</v>
      </c>
      <c r="Q568">
        <f t="shared" si="43"/>
        <v>1</v>
      </c>
      <c r="R568" t="str">
        <f t="shared" si="44"/>
        <v>Average</v>
      </c>
      <c r="S568">
        <f>COUNTIF('Students Social Media Addiction'!O:O,"High")/COUNTA(Table1[Student_ID])</f>
        <v>0.5787234042553191</v>
      </c>
      <c r="T568">
        <f>AVERAGE(Table1[Academic Impact Flag])</f>
        <v>0.64255319148936174</v>
      </c>
      <c r="U568">
        <f>AVERAGE(Table1[Sleep_Hours_Per_Night])</f>
        <v>6.868936170212768</v>
      </c>
      <c r="V568">
        <f>AVERAGE(Table1[Mental_Health_Score])</f>
        <v>6.2269503546099294</v>
      </c>
    </row>
    <row r="569" spans="1:22" x14ac:dyDescent="0.3">
      <c r="A569">
        <v>568</v>
      </c>
      <c r="B569">
        <v>22</v>
      </c>
      <c r="C569" t="s">
        <v>18</v>
      </c>
      <c r="D569" t="s">
        <v>19</v>
      </c>
      <c r="E569" t="s">
        <v>89</v>
      </c>
      <c r="F569">
        <v>3.6</v>
      </c>
      <c r="G569" t="s">
        <v>31</v>
      </c>
      <c r="H569" t="s">
        <v>22</v>
      </c>
      <c r="I569">
        <v>8.5</v>
      </c>
      <c r="J569">
        <v>7</v>
      </c>
      <c r="K569" t="s">
        <v>23</v>
      </c>
      <c r="L569">
        <v>5</v>
      </c>
      <c r="M569" t="str">
        <f>IF(Table1[[#This Row],[Age]]&lt;=18,"Teen",IF(Table1[[#This Row],[Age]]&lt;=21,"Young Adult","Adult"))</f>
        <v>Adult</v>
      </c>
      <c r="N569" t="str">
        <f t="shared" si="40"/>
        <v>Moderate</v>
      </c>
      <c r="O569" t="str">
        <f t="shared" si="41"/>
        <v>Medium</v>
      </c>
      <c r="P569" t="str">
        <f t="shared" si="42"/>
        <v>Healthy</v>
      </c>
      <c r="Q569">
        <f t="shared" si="43"/>
        <v>0</v>
      </c>
      <c r="R569" t="str">
        <f t="shared" si="44"/>
        <v>Good</v>
      </c>
      <c r="S569">
        <f>COUNTIF('Students Social Media Addiction'!O:O,"High")/COUNTA(Table1[Student_ID])</f>
        <v>0.5787234042553191</v>
      </c>
      <c r="T569">
        <f>AVERAGE(Table1[Academic Impact Flag])</f>
        <v>0.64255319148936174</v>
      </c>
      <c r="U569">
        <f>AVERAGE(Table1[Sleep_Hours_Per_Night])</f>
        <v>6.868936170212768</v>
      </c>
      <c r="V569">
        <f>AVERAGE(Table1[Mental_Health_Score])</f>
        <v>6.2269503546099294</v>
      </c>
    </row>
    <row r="570" spans="1:22" x14ac:dyDescent="0.3">
      <c r="A570">
        <v>569</v>
      </c>
      <c r="B570">
        <v>19</v>
      </c>
      <c r="C570" t="s">
        <v>12</v>
      </c>
      <c r="D570" t="s">
        <v>13</v>
      </c>
      <c r="E570" t="s">
        <v>20</v>
      </c>
      <c r="F570">
        <v>7.4</v>
      </c>
      <c r="G570" t="s">
        <v>142</v>
      </c>
      <c r="H570" t="s">
        <v>16</v>
      </c>
      <c r="I570">
        <v>5.4</v>
      </c>
      <c r="J570">
        <v>5</v>
      </c>
      <c r="K570" t="s">
        <v>17</v>
      </c>
      <c r="L570">
        <v>8</v>
      </c>
      <c r="M570" t="str">
        <f>IF(Table1[[#This Row],[Age]]&lt;=18,"Teen",IF(Table1[[#This Row],[Age]]&lt;=21,"Young Adult","Adult"))</f>
        <v>Young Adult</v>
      </c>
      <c r="N570" t="str">
        <f t="shared" si="40"/>
        <v>Very High</v>
      </c>
      <c r="O570" t="str">
        <f t="shared" si="41"/>
        <v>High</v>
      </c>
      <c r="P570" t="str">
        <f t="shared" si="42"/>
        <v>Poor</v>
      </c>
      <c r="Q570">
        <f t="shared" si="43"/>
        <v>1</v>
      </c>
      <c r="R570" t="str">
        <f t="shared" si="44"/>
        <v>Average</v>
      </c>
      <c r="S570">
        <f>COUNTIF('Students Social Media Addiction'!O:O,"High")/COUNTA(Table1[Student_ID])</f>
        <v>0.5787234042553191</v>
      </c>
      <c r="T570">
        <f>AVERAGE(Table1[Academic Impact Flag])</f>
        <v>0.64255319148936174</v>
      </c>
      <c r="U570">
        <f>AVERAGE(Table1[Sleep_Hours_Per_Night])</f>
        <v>6.868936170212768</v>
      </c>
      <c r="V570">
        <f>AVERAGE(Table1[Mental_Health_Score])</f>
        <v>6.2269503546099294</v>
      </c>
    </row>
    <row r="571" spans="1:22" x14ac:dyDescent="0.3">
      <c r="A571">
        <v>570</v>
      </c>
      <c r="B571">
        <v>21</v>
      </c>
      <c r="C571" t="s">
        <v>18</v>
      </c>
      <c r="D571" t="s">
        <v>19</v>
      </c>
      <c r="E571" t="s">
        <v>30</v>
      </c>
      <c r="F571">
        <v>4.2</v>
      </c>
      <c r="G571" t="s">
        <v>15</v>
      </c>
      <c r="H571" t="s">
        <v>16</v>
      </c>
      <c r="I571">
        <v>8</v>
      </c>
      <c r="J571">
        <v>7</v>
      </c>
      <c r="K571" t="s">
        <v>23</v>
      </c>
      <c r="L571">
        <v>6</v>
      </c>
      <c r="M571" t="str">
        <f>IF(Table1[[#This Row],[Age]]&lt;=18,"Teen",IF(Table1[[#This Row],[Age]]&lt;=21,"Young Adult","Adult"))</f>
        <v>Young Adult</v>
      </c>
      <c r="N571" t="str">
        <f t="shared" si="40"/>
        <v>High</v>
      </c>
      <c r="O571" t="str">
        <f t="shared" si="41"/>
        <v>Medium</v>
      </c>
      <c r="P571" t="str">
        <f t="shared" si="42"/>
        <v>Healthy</v>
      </c>
      <c r="Q571">
        <f t="shared" si="43"/>
        <v>1</v>
      </c>
      <c r="R571" t="str">
        <f t="shared" si="44"/>
        <v>Good</v>
      </c>
      <c r="S571">
        <f>COUNTIF('Students Social Media Addiction'!O:O,"High")/COUNTA(Table1[Student_ID])</f>
        <v>0.5787234042553191</v>
      </c>
      <c r="T571">
        <f>AVERAGE(Table1[Academic Impact Flag])</f>
        <v>0.64255319148936174</v>
      </c>
      <c r="U571">
        <f>AVERAGE(Table1[Sleep_Hours_Per_Night])</f>
        <v>6.868936170212768</v>
      </c>
      <c r="V571">
        <f>AVERAGE(Table1[Mental_Health_Score])</f>
        <v>6.2269503546099294</v>
      </c>
    </row>
    <row r="572" spans="1:22" x14ac:dyDescent="0.3">
      <c r="A572">
        <v>571</v>
      </c>
      <c r="B572">
        <v>20</v>
      </c>
      <c r="C572" t="s">
        <v>12</v>
      </c>
      <c r="D572" t="s">
        <v>13</v>
      </c>
      <c r="E572" t="s">
        <v>40</v>
      </c>
      <c r="F572">
        <v>6.1</v>
      </c>
      <c r="G572" t="s">
        <v>15</v>
      </c>
      <c r="H572" t="s">
        <v>16</v>
      </c>
      <c r="I572">
        <v>7.2</v>
      </c>
      <c r="J572">
        <v>5</v>
      </c>
      <c r="K572" t="s">
        <v>23</v>
      </c>
      <c r="L572">
        <v>7</v>
      </c>
      <c r="M572" t="str">
        <f>IF(Table1[[#This Row],[Age]]&lt;=18,"Teen",IF(Table1[[#This Row],[Age]]&lt;=21,"Young Adult","Adult"))</f>
        <v>Young Adult</v>
      </c>
      <c r="N572" t="str">
        <f t="shared" si="40"/>
        <v>Very High</v>
      </c>
      <c r="O572" t="str">
        <f t="shared" si="41"/>
        <v>High</v>
      </c>
      <c r="P572" t="str">
        <f t="shared" si="42"/>
        <v>Healthy</v>
      </c>
      <c r="Q572">
        <f t="shared" si="43"/>
        <v>1</v>
      </c>
      <c r="R572" t="str">
        <f t="shared" si="44"/>
        <v>Average</v>
      </c>
      <c r="S572">
        <f>COUNTIF('Students Social Media Addiction'!O:O,"High")/COUNTA(Table1[Student_ID])</f>
        <v>0.5787234042553191</v>
      </c>
      <c r="T572">
        <f>AVERAGE(Table1[Academic Impact Flag])</f>
        <v>0.64255319148936174</v>
      </c>
      <c r="U572">
        <f>AVERAGE(Table1[Sleep_Hours_Per_Night])</f>
        <v>6.868936170212768</v>
      </c>
      <c r="V572">
        <f>AVERAGE(Table1[Mental_Health_Score])</f>
        <v>6.2269503546099294</v>
      </c>
    </row>
    <row r="573" spans="1:22" x14ac:dyDescent="0.3">
      <c r="A573">
        <v>572</v>
      </c>
      <c r="B573">
        <v>23</v>
      </c>
      <c r="C573" t="s">
        <v>18</v>
      </c>
      <c r="D573" t="s">
        <v>19</v>
      </c>
      <c r="E573" t="s">
        <v>47</v>
      </c>
      <c r="F573">
        <v>3.8</v>
      </c>
      <c r="G573" t="s">
        <v>21</v>
      </c>
      <c r="H573" t="s">
        <v>22</v>
      </c>
      <c r="I573">
        <v>7.8</v>
      </c>
      <c r="J573">
        <v>8</v>
      </c>
      <c r="K573" t="s">
        <v>17</v>
      </c>
      <c r="L573">
        <v>4</v>
      </c>
      <c r="M573" t="str">
        <f>IF(Table1[[#This Row],[Age]]&lt;=18,"Teen",IF(Table1[[#This Row],[Age]]&lt;=21,"Young Adult","Adult"))</f>
        <v>Adult</v>
      </c>
      <c r="N573" t="str">
        <f t="shared" si="40"/>
        <v>Moderate</v>
      </c>
      <c r="O573" t="str">
        <f t="shared" si="41"/>
        <v>Medium</v>
      </c>
      <c r="P573" t="str">
        <f t="shared" si="42"/>
        <v>Healthy</v>
      </c>
      <c r="Q573">
        <f t="shared" si="43"/>
        <v>0</v>
      </c>
      <c r="R573" t="str">
        <f t="shared" si="44"/>
        <v>Good</v>
      </c>
      <c r="S573">
        <f>COUNTIF('Students Social Media Addiction'!O:O,"High")/COUNTA(Table1[Student_ID])</f>
        <v>0.5787234042553191</v>
      </c>
      <c r="T573">
        <f>AVERAGE(Table1[Academic Impact Flag])</f>
        <v>0.64255319148936174</v>
      </c>
      <c r="U573">
        <f>AVERAGE(Table1[Sleep_Hours_Per_Night])</f>
        <v>6.868936170212768</v>
      </c>
      <c r="V573">
        <f>AVERAGE(Table1[Mental_Health_Score])</f>
        <v>6.2269503546099294</v>
      </c>
    </row>
    <row r="574" spans="1:22" x14ac:dyDescent="0.3">
      <c r="A574">
        <v>573</v>
      </c>
      <c r="B574">
        <v>19</v>
      </c>
      <c r="C574" t="s">
        <v>12</v>
      </c>
      <c r="D574" t="s">
        <v>13</v>
      </c>
      <c r="E574" t="s">
        <v>54</v>
      </c>
      <c r="F574">
        <v>5.5</v>
      </c>
      <c r="G574" t="s">
        <v>25</v>
      </c>
      <c r="H574" t="s">
        <v>16</v>
      </c>
      <c r="I574">
        <v>6.8</v>
      </c>
      <c r="J574">
        <v>6</v>
      </c>
      <c r="K574" t="s">
        <v>23</v>
      </c>
      <c r="L574">
        <v>8</v>
      </c>
      <c r="M574" t="str">
        <f>IF(Table1[[#This Row],[Age]]&lt;=18,"Teen",IF(Table1[[#This Row],[Age]]&lt;=21,"Young Adult","Adult"))</f>
        <v>Young Adult</v>
      </c>
      <c r="N574" t="str">
        <f t="shared" si="40"/>
        <v>High</v>
      </c>
      <c r="O574" t="str">
        <f t="shared" si="41"/>
        <v>High</v>
      </c>
      <c r="P574" t="str">
        <f t="shared" si="42"/>
        <v>Average</v>
      </c>
      <c r="Q574">
        <f t="shared" si="43"/>
        <v>1</v>
      </c>
      <c r="R574" t="str">
        <f t="shared" si="44"/>
        <v>Average</v>
      </c>
      <c r="S574">
        <f>COUNTIF('Students Social Media Addiction'!O:O,"High")/COUNTA(Table1[Student_ID])</f>
        <v>0.5787234042553191</v>
      </c>
      <c r="T574">
        <f>AVERAGE(Table1[Academic Impact Flag])</f>
        <v>0.64255319148936174</v>
      </c>
      <c r="U574">
        <f>AVERAGE(Table1[Sleep_Hours_Per_Night])</f>
        <v>6.868936170212768</v>
      </c>
      <c r="V574">
        <f>AVERAGE(Table1[Mental_Health_Score])</f>
        <v>6.2269503546099294</v>
      </c>
    </row>
    <row r="575" spans="1:22" x14ac:dyDescent="0.3">
      <c r="A575">
        <v>574</v>
      </c>
      <c r="B575">
        <v>22</v>
      </c>
      <c r="C575" t="s">
        <v>18</v>
      </c>
      <c r="D575" t="s">
        <v>19</v>
      </c>
      <c r="E575" t="s">
        <v>20</v>
      </c>
      <c r="F575">
        <v>7.2</v>
      </c>
      <c r="G575" t="s">
        <v>31</v>
      </c>
      <c r="H575" t="s">
        <v>16</v>
      </c>
      <c r="I575">
        <v>5.9</v>
      </c>
      <c r="J575">
        <v>4</v>
      </c>
      <c r="K575" t="s">
        <v>23</v>
      </c>
      <c r="L575">
        <v>9</v>
      </c>
      <c r="M575" t="str">
        <f>IF(Table1[[#This Row],[Age]]&lt;=18,"Teen",IF(Table1[[#This Row],[Age]]&lt;=21,"Young Adult","Adult"))</f>
        <v>Adult</v>
      </c>
      <c r="N575" t="str">
        <f t="shared" si="40"/>
        <v>Very High</v>
      </c>
      <c r="O575" t="str">
        <f t="shared" si="41"/>
        <v>High</v>
      </c>
      <c r="P575" t="str">
        <f t="shared" si="42"/>
        <v>Poor</v>
      </c>
      <c r="Q575">
        <f t="shared" si="43"/>
        <v>1</v>
      </c>
      <c r="R575" t="str">
        <f t="shared" si="44"/>
        <v>Poor</v>
      </c>
      <c r="S575">
        <f>COUNTIF('Students Social Media Addiction'!O:O,"High")/COUNTA(Table1[Student_ID])</f>
        <v>0.5787234042553191</v>
      </c>
      <c r="T575">
        <f>AVERAGE(Table1[Academic Impact Flag])</f>
        <v>0.64255319148936174</v>
      </c>
      <c r="U575">
        <f>AVERAGE(Table1[Sleep_Hours_Per_Night])</f>
        <v>6.868936170212768</v>
      </c>
      <c r="V575">
        <f>AVERAGE(Table1[Mental_Health_Score])</f>
        <v>6.2269503546099294</v>
      </c>
    </row>
    <row r="576" spans="1:22" x14ac:dyDescent="0.3">
      <c r="A576">
        <v>575</v>
      </c>
      <c r="B576">
        <v>21</v>
      </c>
      <c r="C576" t="s">
        <v>12</v>
      </c>
      <c r="D576" t="s">
        <v>13</v>
      </c>
      <c r="E576" t="s">
        <v>50</v>
      </c>
      <c r="F576">
        <v>4.2</v>
      </c>
      <c r="G576" t="s">
        <v>15</v>
      </c>
      <c r="H576" t="s">
        <v>22</v>
      </c>
      <c r="I576">
        <v>7.5</v>
      </c>
      <c r="J576">
        <v>7</v>
      </c>
      <c r="K576" t="s">
        <v>17</v>
      </c>
      <c r="L576">
        <v>5</v>
      </c>
      <c r="M576" t="str">
        <f>IF(Table1[[#This Row],[Age]]&lt;=18,"Teen",IF(Table1[[#This Row],[Age]]&lt;=21,"Young Adult","Adult"))</f>
        <v>Young Adult</v>
      </c>
      <c r="N576" t="str">
        <f t="shared" si="40"/>
        <v>High</v>
      </c>
      <c r="O576" t="str">
        <f t="shared" si="41"/>
        <v>Medium</v>
      </c>
      <c r="P576" t="str">
        <f t="shared" si="42"/>
        <v>Healthy</v>
      </c>
      <c r="Q576">
        <f t="shared" si="43"/>
        <v>0</v>
      </c>
      <c r="R576" t="str">
        <f t="shared" si="44"/>
        <v>Good</v>
      </c>
      <c r="S576">
        <f>COUNTIF('Students Social Media Addiction'!O:O,"High")/COUNTA(Table1[Student_ID])</f>
        <v>0.5787234042553191</v>
      </c>
      <c r="T576">
        <f>AVERAGE(Table1[Academic Impact Flag])</f>
        <v>0.64255319148936174</v>
      </c>
      <c r="U576">
        <f>AVERAGE(Table1[Sleep_Hours_Per_Night])</f>
        <v>6.868936170212768</v>
      </c>
      <c r="V576">
        <f>AVERAGE(Table1[Mental_Health_Score])</f>
        <v>6.2269503546099294</v>
      </c>
    </row>
    <row r="577" spans="1:22" x14ac:dyDescent="0.3">
      <c r="A577">
        <v>576</v>
      </c>
      <c r="B577">
        <v>24</v>
      </c>
      <c r="C577" t="s">
        <v>18</v>
      </c>
      <c r="D577" t="s">
        <v>19</v>
      </c>
      <c r="E577" t="s">
        <v>64</v>
      </c>
      <c r="F577">
        <v>6.8</v>
      </c>
      <c r="G577" t="s">
        <v>25</v>
      </c>
      <c r="H577" t="s">
        <v>16</v>
      </c>
      <c r="I577">
        <v>6.2</v>
      </c>
      <c r="J577">
        <v>5</v>
      </c>
      <c r="K577" t="s">
        <v>23</v>
      </c>
      <c r="L577">
        <v>8</v>
      </c>
      <c r="M577" t="str">
        <f>IF(Table1[[#This Row],[Age]]&lt;=18,"Teen",IF(Table1[[#This Row],[Age]]&lt;=21,"Young Adult","Adult"))</f>
        <v>Adult</v>
      </c>
      <c r="N577" t="str">
        <f t="shared" si="40"/>
        <v>Very High</v>
      </c>
      <c r="O577" t="str">
        <f t="shared" si="41"/>
        <v>High</v>
      </c>
      <c r="P577" t="str">
        <f t="shared" si="42"/>
        <v>Average</v>
      </c>
      <c r="Q577">
        <f t="shared" si="43"/>
        <v>1</v>
      </c>
      <c r="R577" t="str">
        <f t="shared" si="44"/>
        <v>Average</v>
      </c>
      <c r="S577">
        <f>COUNTIF('Students Social Media Addiction'!O:O,"High")/COUNTA(Table1[Student_ID])</f>
        <v>0.5787234042553191</v>
      </c>
      <c r="T577">
        <f>AVERAGE(Table1[Academic Impact Flag])</f>
        <v>0.64255319148936174</v>
      </c>
      <c r="U577">
        <f>AVERAGE(Table1[Sleep_Hours_Per_Night])</f>
        <v>6.868936170212768</v>
      </c>
      <c r="V577">
        <f>AVERAGE(Table1[Mental_Health_Score])</f>
        <v>6.2269503546099294</v>
      </c>
    </row>
    <row r="578" spans="1:22" x14ac:dyDescent="0.3">
      <c r="A578">
        <v>577</v>
      </c>
      <c r="B578">
        <v>20</v>
      </c>
      <c r="C578" t="s">
        <v>12</v>
      </c>
      <c r="D578" t="s">
        <v>13</v>
      </c>
      <c r="E578" t="s">
        <v>24</v>
      </c>
      <c r="F578">
        <v>5.9</v>
      </c>
      <c r="G578" t="s">
        <v>15</v>
      </c>
      <c r="H578" t="s">
        <v>16</v>
      </c>
      <c r="I578">
        <v>6.7</v>
      </c>
      <c r="J578">
        <v>6</v>
      </c>
      <c r="K578" t="s">
        <v>17</v>
      </c>
      <c r="L578">
        <v>7</v>
      </c>
      <c r="M578" t="str">
        <f>IF(Table1[[#This Row],[Age]]&lt;=18,"Teen",IF(Table1[[#This Row],[Age]]&lt;=21,"Young Adult","Adult"))</f>
        <v>Young Adult</v>
      </c>
      <c r="N578" t="str">
        <f t="shared" ref="N578:N641" si="45">IF(F578&lt;2,"Low",
IF(F578&lt;4,"Moderate",
IF(F578&lt;6,"High","Very High")))</f>
        <v>High</v>
      </c>
      <c r="O578" t="str">
        <f t="shared" ref="O578:O641" si="46">IF(L578&lt;=3,"Low",
IF(L578&lt;=6,"Medium","High"))</f>
        <v>High</v>
      </c>
      <c r="P578" t="str">
        <f t="shared" ref="P578:P641" si="47">IF(I578&lt;6,"Poor",
IF(I578&lt;=7,"Average","Healthy"))</f>
        <v>Average</v>
      </c>
      <c r="Q578">
        <f t="shared" ref="Q578:Q641" si="48">IF(H578="Yes",1,0)</f>
        <v>1</v>
      </c>
      <c r="R578" t="str">
        <f t="shared" ref="R578:R641" si="49">IF(J578&lt;=4,"Poor",
IF(J578&lt;=6,"Average","Good"))</f>
        <v>Average</v>
      </c>
      <c r="S578">
        <f>COUNTIF('Students Social Media Addiction'!O:O,"High")/COUNTA(Table1[Student_ID])</f>
        <v>0.5787234042553191</v>
      </c>
      <c r="T578">
        <f>AVERAGE(Table1[Academic Impact Flag])</f>
        <v>0.64255319148936174</v>
      </c>
      <c r="U578">
        <f>AVERAGE(Table1[Sleep_Hours_Per_Night])</f>
        <v>6.868936170212768</v>
      </c>
      <c r="V578">
        <f>AVERAGE(Table1[Mental_Health_Score])</f>
        <v>6.2269503546099294</v>
      </c>
    </row>
    <row r="579" spans="1:22" x14ac:dyDescent="0.3">
      <c r="A579">
        <v>578</v>
      </c>
      <c r="B579">
        <v>22</v>
      </c>
      <c r="C579" t="s">
        <v>18</v>
      </c>
      <c r="D579" t="s">
        <v>19</v>
      </c>
      <c r="E579" t="s">
        <v>42</v>
      </c>
      <c r="F579">
        <v>6.5</v>
      </c>
      <c r="G579" t="s">
        <v>31</v>
      </c>
      <c r="H579" t="s">
        <v>16</v>
      </c>
      <c r="I579">
        <v>6.1</v>
      </c>
      <c r="J579">
        <v>5</v>
      </c>
      <c r="K579" t="s">
        <v>23</v>
      </c>
      <c r="L579">
        <v>8</v>
      </c>
      <c r="M579" t="str">
        <f>IF(Table1[[#This Row],[Age]]&lt;=18,"Teen",IF(Table1[[#This Row],[Age]]&lt;=21,"Young Adult","Adult"))</f>
        <v>Adult</v>
      </c>
      <c r="N579" t="str">
        <f t="shared" si="45"/>
        <v>Very High</v>
      </c>
      <c r="O579" t="str">
        <f t="shared" si="46"/>
        <v>High</v>
      </c>
      <c r="P579" t="str">
        <f t="shared" si="47"/>
        <v>Average</v>
      </c>
      <c r="Q579">
        <f t="shared" si="48"/>
        <v>1</v>
      </c>
      <c r="R579" t="str">
        <f t="shared" si="49"/>
        <v>Average</v>
      </c>
      <c r="S579">
        <f>COUNTIF('Students Social Media Addiction'!O:O,"High")/COUNTA(Table1[Student_ID])</f>
        <v>0.5787234042553191</v>
      </c>
      <c r="T579">
        <f>AVERAGE(Table1[Academic Impact Flag])</f>
        <v>0.64255319148936174</v>
      </c>
      <c r="U579">
        <f>AVERAGE(Table1[Sleep_Hours_Per_Night])</f>
        <v>6.868936170212768</v>
      </c>
      <c r="V579">
        <f>AVERAGE(Table1[Mental_Health_Score])</f>
        <v>6.2269503546099294</v>
      </c>
    </row>
    <row r="580" spans="1:22" x14ac:dyDescent="0.3">
      <c r="A580">
        <v>579</v>
      </c>
      <c r="B580">
        <v>19</v>
      </c>
      <c r="C580" t="s">
        <v>12</v>
      </c>
      <c r="D580" t="s">
        <v>13</v>
      </c>
      <c r="E580" t="s">
        <v>39</v>
      </c>
      <c r="F580">
        <v>4.7</v>
      </c>
      <c r="G580" t="s">
        <v>21</v>
      </c>
      <c r="H580" t="s">
        <v>22</v>
      </c>
      <c r="I580">
        <v>7.4</v>
      </c>
      <c r="J580">
        <v>7</v>
      </c>
      <c r="K580" t="s">
        <v>23</v>
      </c>
      <c r="L580">
        <v>5</v>
      </c>
      <c r="M580" t="str">
        <f>IF(Table1[[#This Row],[Age]]&lt;=18,"Teen",IF(Table1[[#This Row],[Age]]&lt;=21,"Young Adult","Adult"))</f>
        <v>Young Adult</v>
      </c>
      <c r="N580" t="str">
        <f t="shared" si="45"/>
        <v>High</v>
      </c>
      <c r="O580" t="str">
        <f t="shared" si="46"/>
        <v>Medium</v>
      </c>
      <c r="P580" t="str">
        <f t="shared" si="47"/>
        <v>Healthy</v>
      </c>
      <c r="Q580">
        <f t="shared" si="48"/>
        <v>0</v>
      </c>
      <c r="R580" t="str">
        <f t="shared" si="49"/>
        <v>Good</v>
      </c>
      <c r="S580">
        <f>COUNTIF('Students Social Media Addiction'!O:O,"High")/COUNTA(Table1[Student_ID])</f>
        <v>0.5787234042553191</v>
      </c>
      <c r="T580">
        <f>AVERAGE(Table1[Academic Impact Flag])</f>
        <v>0.64255319148936174</v>
      </c>
      <c r="U580">
        <f>AVERAGE(Table1[Sleep_Hours_Per_Night])</f>
        <v>6.868936170212768</v>
      </c>
      <c r="V580">
        <f>AVERAGE(Table1[Mental_Health_Score])</f>
        <v>6.2269503546099294</v>
      </c>
    </row>
    <row r="581" spans="1:22" x14ac:dyDescent="0.3">
      <c r="A581">
        <v>580</v>
      </c>
      <c r="B581">
        <v>23</v>
      </c>
      <c r="C581" t="s">
        <v>18</v>
      </c>
      <c r="D581" t="s">
        <v>19</v>
      </c>
      <c r="E581" t="s">
        <v>30</v>
      </c>
      <c r="F581">
        <v>5.2</v>
      </c>
      <c r="G581" t="s">
        <v>15</v>
      </c>
      <c r="H581" t="s">
        <v>16</v>
      </c>
      <c r="I581">
        <v>7</v>
      </c>
      <c r="J581">
        <v>6</v>
      </c>
      <c r="K581" t="s">
        <v>17</v>
      </c>
      <c r="L581">
        <v>6</v>
      </c>
      <c r="M581" t="str">
        <f>IF(Table1[[#This Row],[Age]]&lt;=18,"Teen",IF(Table1[[#This Row],[Age]]&lt;=21,"Young Adult","Adult"))</f>
        <v>Adult</v>
      </c>
      <c r="N581" t="str">
        <f t="shared" si="45"/>
        <v>High</v>
      </c>
      <c r="O581" t="str">
        <f t="shared" si="46"/>
        <v>Medium</v>
      </c>
      <c r="P581" t="str">
        <f t="shared" si="47"/>
        <v>Average</v>
      </c>
      <c r="Q581">
        <f t="shared" si="48"/>
        <v>1</v>
      </c>
      <c r="R581" t="str">
        <f t="shared" si="49"/>
        <v>Average</v>
      </c>
      <c r="S581">
        <f>COUNTIF('Students Social Media Addiction'!O:O,"High")/COUNTA(Table1[Student_ID])</f>
        <v>0.5787234042553191</v>
      </c>
      <c r="T581">
        <f>AVERAGE(Table1[Academic Impact Flag])</f>
        <v>0.64255319148936174</v>
      </c>
      <c r="U581">
        <f>AVERAGE(Table1[Sleep_Hours_Per_Night])</f>
        <v>6.868936170212768</v>
      </c>
      <c r="V581">
        <f>AVERAGE(Table1[Mental_Health_Score])</f>
        <v>6.2269503546099294</v>
      </c>
    </row>
    <row r="582" spans="1:22" x14ac:dyDescent="0.3">
      <c r="A582">
        <v>581</v>
      </c>
      <c r="B582">
        <v>21</v>
      </c>
      <c r="C582" t="s">
        <v>12</v>
      </c>
      <c r="D582" t="s">
        <v>13</v>
      </c>
      <c r="E582" t="s">
        <v>28</v>
      </c>
      <c r="F582">
        <v>6.3</v>
      </c>
      <c r="G582" t="s">
        <v>25</v>
      </c>
      <c r="H582" t="s">
        <v>16</v>
      </c>
      <c r="I582">
        <v>6.4</v>
      </c>
      <c r="J582">
        <v>5</v>
      </c>
      <c r="K582" t="s">
        <v>23</v>
      </c>
      <c r="L582">
        <v>8</v>
      </c>
      <c r="M582" t="str">
        <f>IF(Table1[[#This Row],[Age]]&lt;=18,"Teen",IF(Table1[[#This Row],[Age]]&lt;=21,"Young Adult","Adult"))</f>
        <v>Young Adult</v>
      </c>
      <c r="N582" t="str">
        <f t="shared" si="45"/>
        <v>Very High</v>
      </c>
      <c r="O582" t="str">
        <f t="shared" si="46"/>
        <v>High</v>
      </c>
      <c r="P582" t="str">
        <f t="shared" si="47"/>
        <v>Average</v>
      </c>
      <c r="Q582">
        <f t="shared" si="48"/>
        <v>1</v>
      </c>
      <c r="R582" t="str">
        <f t="shared" si="49"/>
        <v>Average</v>
      </c>
      <c r="S582">
        <f>COUNTIF('Students Social Media Addiction'!O:O,"High")/COUNTA(Table1[Student_ID])</f>
        <v>0.5787234042553191</v>
      </c>
      <c r="T582">
        <f>AVERAGE(Table1[Academic Impact Flag])</f>
        <v>0.64255319148936174</v>
      </c>
      <c r="U582">
        <f>AVERAGE(Table1[Sleep_Hours_Per_Night])</f>
        <v>6.868936170212768</v>
      </c>
      <c r="V582">
        <f>AVERAGE(Table1[Mental_Health_Score])</f>
        <v>6.2269503546099294</v>
      </c>
    </row>
    <row r="583" spans="1:22" x14ac:dyDescent="0.3">
      <c r="A583">
        <v>582</v>
      </c>
      <c r="B583">
        <v>24</v>
      </c>
      <c r="C583" t="s">
        <v>18</v>
      </c>
      <c r="D583" t="s">
        <v>19</v>
      </c>
      <c r="E583" t="s">
        <v>41</v>
      </c>
      <c r="F583">
        <v>4.9000000000000004</v>
      </c>
      <c r="G583" t="s">
        <v>31</v>
      </c>
      <c r="H583" t="s">
        <v>22</v>
      </c>
      <c r="I583">
        <v>7.3</v>
      </c>
      <c r="J583">
        <v>7</v>
      </c>
      <c r="K583" t="s">
        <v>17</v>
      </c>
      <c r="L583">
        <v>5</v>
      </c>
      <c r="M583" t="str">
        <f>IF(Table1[[#This Row],[Age]]&lt;=18,"Teen",IF(Table1[[#This Row],[Age]]&lt;=21,"Young Adult","Adult"))</f>
        <v>Adult</v>
      </c>
      <c r="N583" t="str">
        <f t="shared" si="45"/>
        <v>High</v>
      </c>
      <c r="O583" t="str">
        <f t="shared" si="46"/>
        <v>Medium</v>
      </c>
      <c r="P583" t="str">
        <f t="shared" si="47"/>
        <v>Healthy</v>
      </c>
      <c r="Q583">
        <f t="shared" si="48"/>
        <v>0</v>
      </c>
      <c r="R583" t="str">
        <f t="shared" si="49"/>
        <v>Good</v>
      </c>
      <c r="S583">
        <f>COUNTIF('Students Social Media Addiction'!O:O,"High")/COUNTA(Table1[Student_ID])</f>
        <v>0.5787234042553191</v>
      </c>
      <c r="T583">
        <f>AVERAGE(Table1[Academic Impact Flag])</f>
        <v>0.64255319148936174</v>
      </c>
      <c r="U583">
        <f>AVERAGE(Table1[Sleep_Hours_Per_Night])</f>
        <v>6.868936170212768</v>
      </c>
      <c r="V583">
        <f>AVERAGE(Table1[Mental_Health_Score])</f>
        <v>6.2269503546099294</v>
      </c>
    </row>
    <row r="584" spans="1:22" x14ac:dyDescent="0.3">
      <c r="A584">
        <v>583</v>
      </c>
      <c r="B584">
        <v>20</v>
      </c>
      <c r="C584" t="s">
        <v>12</v>
      </c>
      <c r="D584" t="s">
        <v>13</v>
      </c>
      <c r="E584" t="s">
        <v>43</v>
      </c>
      <c r="F584">
        <v>6.7</v>
      </c>
      <c r="G584" t="s">
        <v>15</v>
      </c>
      <c r="H584" t="s">
        <v>16</v>
      </c>
      <c r="I584">
        <v>6</v>
      </c>
      <c r="J584">
        <v>5</v>
      </c>
      <c r="K584" t="s">
        <v>23</v>
      </c>
      <c r="L584">
        <v>8</v>
      </c>
      <c r="M584" t="str">
        <f>IF(Table1[[#This Row],[Age]]&lt;=18,"Teen",IF(Table1[[#This Row],[Age]]&lt;=21,"Young Adult","Adult"))</f>
        <v>Young Adult</v>
      </c>
      <c r="N584" t="str">
        <f t="shared" si="45"/>
        <v>Very High</v>
      </c>
      <c r="O584" t="str">
        <f t="shared" si="46"/>
        <v>High</v>
      </c>
      <c r="P584" t="str">
        <f t="shared" si="47"/>
        <v>Average</v>
      </c>
      <c r="Q584">
        <f t="shared" si="48"/>
        <v>1</v>
      </c>
      <c r="R584" t="str">
        <f t="shared" si="49"/>
        <v>Average</v>
      </c>
      <c r="S584">
        <f>COUNTIF('Students Social Media Addiction'!O:O,"High")/COUNTA(Table1[Student_ID])</f>
        <v>0.5787234042553191</v>
      </c>
      <c r="T584">
        <f>AVERAGE(Table1[Academic Impact Flag])</f>
        <v>0.64255319148936174</v>
      </c>
      <c r="U584">
        <f>AVERAGE(Table1[Sleep_Hours_Per_Night])</f>
        <v>6.868936170212768</v>
      </c>
      <c r="V584">
        <f>AVERAGE(Table1[Mental_Health_Score])</f>
        <v>6.2269503546099294</v>
      </c>
    </row>
    <row r="585" spans="1:22" x14ac:dyDescent="0.3">
      <c r="A585">
        <v>584</v>
      </c>
      <c r="B585">
        <v>22</v>
      </c>
      <c r="C585" t="s">
        <v>18</v>
      </c>
      <c r="D585" t="s">
        <v>19</v>
      </c>
      <c r="E585" t="s">
        <v>44</v>
      </c>
      <c r="F585">
        <v>5.8</v>
      </c>
      <c r="G585" t="s">
        <v>143</v>
      </c>
      <c r="H585" t="s">
        <v>16</v>
      </c>
      <c r="I585">
        <v>6.5</v>
      </c>
      <c r="J585">
        <v>6</v>
      </c>
      <c r="K585" t="s">
        <v>17</v>
      </c>
      <c r="L585">
        <v>7</v>
      </c>
      <c r="M585" t="str">
        <f>IF(Table1[[#This Row],[Age]]&lt;=18,"Teen",IF(Table1[[#This Row],[Age]]&lt;=21,"Young Adult","Adult"))</f>
        <v>Adult</v>
      </c>
      <c r="N585" t="str">
        <f t="shared" si="45"/>
        <v>High</v>
      </c>
      <c r="O585" t="str">
        <f t="shared" si="46"/>
        <v>High</v>
      </c>
      <c r="P585" t="str">
        <f t="shared" si="47"/>
        <v>Average</v>
      </c>
      <c r="Q585">
        <f t="shared" si="48"/>
        <v>1</v>
      </c>
      <c r="R585" t="str">
        <f t="shared" si="49"/>
        <v>Average</v>
      </c>
      <c r="S585">
        <f>COUNTIF('Students Social Media Addiction'!O:O,"High")/COUNTA(Table1[Student_ID])</f>
        <v>0.5787234042553191</v>
      </c>
      <c r="T585">
        <f>AVERAGE(Table1[Academic Impact Flag])</f>
        <v>0.64255319148936174</v>
      </c>
      <c r="U585">
        <f>AVERAGE(Table1[Sleep_Hours_Per_Night])</f>
        <v>6.868936170212768</v>
      </c>
      <c r="V585">
        <f>AVERAGE(Table1[Mental_Health_Score])</f>
        <v>6.2269503546099294</v>
      </c>
    </row>
    <row r="586" spans="1:22" x14ac:dyDescent="0.3">
      <c r="A586">
        <v>585</v>
      </c>
      <c r="B586">
        <v>19</v>
      </c>
      <c r="C586" t="s">
        <v>12</v>
      </c>
      <c r="D586" t="s">
        <v>13</v>
      </c>
      <c r="E586" t="s">
        <v>37</v>
      </c>
      <c r="F586">
        <v>4.5</v>
      </c>
      <c r="G586" t="s">
        <v>21</v>
      </c>
      <c r="H586" t="s">
        <v>22</v>
      </c>
      <c r="I586">
        <v>7.6</v>
      </c>
      <c r="J586">
        <v>8</v>
      </c>
      <c r="K586" t="s">
        <v>23</v>
      </c>
      <c r="L586">
        <v>4</v>
      </c>
      <c r="M586" t="str">
        <f>IF(Table1[[#This Row],[Age]]&lt;=18,"Teen",IF(Table1[[#This Row],[Age]]&lt;=21,"Young Adult","Adult"))</f>
        <v>Young Adult</v>
      </c>
      <c r="N586" t="str">
        <f t="shared" si="45"/>
        <v>High</v>
      </c>
      <c r="O586" t="str">
        <f t="shared" si="46"/>
        <v>Medium</v>
      </c>
      <c r="P586" t="str">
        <f t="shared" si="47"/>
        <v>Healthy</v>
      </c>
      <c r="Q586">
        <f t="shared" si="48"/>
        <v>0</v>
      </c>
      <c r="R586" t="str">
        <f t="shared" si="49"/>
        <v>Good</v>
      </c>
      <c r="S586">
        <f>COUNTIF('Students Social Media Addiction'!O:O,"High")/COUNTA(Table1[Student_ID])</f>
        <v>0.5787234042553191</v>
      </c>
      <c r="T586">
        <f>AVERAGE(Table1[Academic Impact Flag])</f>
        <v>0.64255319148936174</v>
      </c>
      <c r="U586">
        <f>AVERAGE(Table1[Sleep_Hours_Per_Night])</f>
        <v>6.868936170212768</v>
      </c>
      <c r="V586">
        <f>AVERAGE(Table1[Mental_Health_Score])</f>
        <v>6.2269503546099294</v>
      </c>
    </row>
    <row r="587" spans="1:22" x14ac:dyDescent="0.3">
      <c r="A587">
        <v>586</v>
      </c>
      <c r="B587">
        <v>23</v>
      </c>
      <c r="C587" t="s">
        <v>18</v>
      </c>
      <c r="D587" t="s">
        <v>19</v>
      </c>
      <c r="E587" t="s">
        <v>89</v>
      </c>
      <c r="F587">
        <v>6.4</v>
      </c>
      <c r="G587" t="s">
        <v>31</v>
      </c>
      <c r="H587" t="s">
        <v>16</v>
      </c>
      <c r="I587">
        <v>6.3</v>
      </c>
      <c r="J587">
        <v>5</v>
      </c>
      <c r="K587" t="s">
        <v>23</v>
      </c>
      <c r="L587">
        <v>8</v>
      </c>
      <c r="M587" t="str">
        <f>IF(Table1[[#This Row],[Age]]&lt;=18,"Teen",IF(Table1[[#This Row],[Age]]&lt;=21,"Young Adult","Adult"))</f>
        <v>Adult</v>
      </c>
      <c r="N587" t="str">
        <f t="shared" si="45"/>
        <v>Very High</v>
      </c>
      <c r="O587" t="str">
        <f t="shared" si="46"/>
        <v>High</v>
      </c>
      <c r="P587" t="str">
        <f t="shared" si="47"/>
        <v>Average</v>
      </c>
      <c r="Q587">
        <f t="shared" si="48"/>
        <v>1</v>
      </c>
      <c r="R587" t="str">
        <f t="shared" si="49"/>
        <v>Average</v>
      </c>
      <c r="S587">
        <f>COUNTIF('Students Social Media Addiction'!O:O,"High")/COUNTA(Table1[Student_ID])</f>
        <v>0.5787234042553191</v>
      </c>
      <c r="T587">
        <f>AVERAGE(Table1[Academic Impact Flag])</f>
        <v>0.64255319148936174</v>
      </c>
      <c r="U587">
        <f>AVERAGE(Table1[Sleep_Hours_Per_Night])</f>
        <v>6.868936170212768</v>
      </c>
      <c r="V587">
        <f>AVERAGE(Table1[Mental_Health_Score])</f>
        <v>6.2269503546099294</v>
      </c>
    </row>
    <row r="588" spans="1:22" x14ac:dyDescent="0.3">
      <c r="A588">
        <v>587</v>
      </c>
      <c r="B588">
        <v>21</v>
      </c>
      <c r="C588" t="s">
        <v>12</v>
      </c>
      <c r="D588" t="s">
        <v>13</v>
      </c>
      <c r="E588" t="s">
        <v>88</v>
      </c>
      <c r="F588">
        <v>4.0999999999999996</v>
      </c>
      <c r="G588" t="s">
        <v>15</v>
      </c>
      <c r="H588" t="s">
        <v>22</v>
      </c>
      <c r="I588">
        <v>7.7</v>
      </c>
      <c r="J588">
        <v>7</v>
      </c>
      <c r="K588" t="s">
        <v>17</v>
      </c>
      <c r="L588">
        <v>5</v>
      </c>
      <c r="M588" t="str">
        <f>IF(Table1[[#This Row],[Age]]&lt;=18,"Teen",IF(Table1[[#This Row],[Age]]&lt;=21,"Young Adult","Adult"))</f>
        <v>Young Adult</v>
      </c>
      <c r="N588" t="str">
        <f t="shared" si="45"/>
        <v>High</v>
      </c>
      <c r="O588" t="str">
        <f t="shared" si="46"/>
        <v>Medium</v>
      </c>
      <c r="P588" t="str">
        <f t="shared" si="47"/>
        <v>Healthy</v>
      </c>
      <c r="Q588">
        <f t="shared" si="48"/>
        <v>0</v>
      </c>
      <c r="R588" t="str">
        <f t="shared" si="49"/>
        <v>Good</v>
      </c>
      <c r="S588">
        <f>COUNTIF('Students Social Media Addiction'!O:O,"High")/COUNTA(Table1[Student_ID])</f>
        <v>0.5787234042553191</v>
      </c>
      <c r="T588">
        <f>AVERAGE(Table1[Academic Impact Flag])</f>
        <v>0.64255319148936174</v>
      </c>
      <c r="U588">
        <f>AVERAGE(Table1[Sleep_Hours_Per_Night])</f>
        <v>6.868936170212768</v>
      </c>
      <c r="V588">
        <f>AVERAGE(Table1[Mental_Health_Score])</f>
        <v>6.2269503546099294</v>
      </c>
    </row>
    <row r="589" spans="1:22" x14ac:dyDescent="0.3">
      <c r="A589">
        <v>588</v>
      </c>
      <c r="B589">
        <v>24</v>
      </c>
      <c r="C589" t="s">
        <v>18</v>
      </c>
      <c r="D589" t="s">
        <v>19</v>
      </c>
      <c r="E589" t="s">
        <v>40</v>
      </c>
      <c r="F589">
        <v>6.6</v>
      </c>
      <c r="G589" t="s">
        <v>25</v>
      </c>
      <c r="H589" t="s">
        <v>16</v>
      </c>
      <c r="I589">
        <v>6.2</v>
      </c>
      <c r="J589">
        <v>5</v>
      </c>
      <c r="K589" t="s">
        <v>23</v>
      </c>
      <c r="L589">
        <v>8</v>
      </c>
      <c r="M589" t="str">
        <f>IF(Table1[[#This Row],[Age]]&lt;=18,"Teen",IF(Table1[[#This Row],[Age]]&lt;=21,"Young Adult","Adult"))</f>
        <v>Adult</v>
      </c>
      <c r="N589" t="str">
        <f t="shared" si="45"/>
        <v>Very High</v>
      </c>
      <c r="O589" t="str">
        <f t="shared" si="46"/>
        <v>High</v>
      </c>
      <c r="P589" t="str">
        <f t="shared" si="47"/>
        <v>Average</v>
      </c>
      <c r="Q589">
        <f t="shared" si="48"/>
        <v>1</v>
      </c>
      <c r="R589" t="str">
        <f t="shared" si="49"/>
        <v>Average</v>
      </c>
      <c r="S589">
        <f>COUNTIF('Students Social Media Addiction'!O:O,"High")/COUNTA(Table1[Student_ID])</f>
        <v>0.5787234042553191</v>
      </c>
      <c r="T589">
        <f>AVERAGE(Table1[Academic Impact Flag])</f>
        <v>0.64255319148936174</v>
      </c>
      <c r="U589">
        <f>AVERAGE(Table1[Sleep_Hours_Per_Night])</f>
        <v>6.868936170212768</v>
      </c>
      <c r="V589">
        <f>AVERAGE(Table1[Mental_Health_Score])</f>
        <v>6.2269503546099294</v>
      </c>
    </row>
    <row r="590" spans="1:22" x14ac:dyDescent="0.3">
      <c r="A590">
        <v>589</v>
      </c>
      <c r="B590">
        <v>20</v>
      </c>
      <c r="C590" t="s">
        <v>12</v>
      </c>
      <c r="D590" t="s">
        <v>13</v>
      </c>
      <c r="E590" t="s">
        <v>47</v>
      </c>
      <c r="F590">
        <v>4.4000000000000004</v>
      </c>
      <c r="G590" t="s">
        <v>15</v>
      </c>
      <c r="H590" t="s">
        <v>22</v>
      </c>
      <c r="I590">
        <v>7.4</v>
      </c>
      <c r="J590">
        <v>7</v>
      </c>
      <c r="K590" t="s">
        <v>17</v>
      </c>
      <c r="L590">
        <v>5</v>
      </c>
      <c r="M590" t="str">
        <f>IF(Table1[[#This Row],[Age]]&lt;=18,"Teen",IF(Table1[[#This Row],[Age]]&lt;=21,"Young Adult","Adult"))</f>
        <v>Young Adult</v>
      </c>
      <c r="N590" t="str">
        <f t="shared" si="45"/>
        <v>High</v>
      </c>
      <c r="O590" t="str">
        <f t="shared" si="46"/>
        <v>Medium</v>
      </c>
      <c r="P590" t="str">
        <f t="shared" si="47"/>
        <v>Healthy</v>
      </c>
      <c r="Q590">
        <f t="shared" si="48"/>
        <v>0</v>
      </c>
      <c r="R590" t="str">
        <f t="shared" si="49"/>
        <v>Good</v>
      </c>
      <c r="S590">
        <f>COUNTIF('Students Social Media Addiction'!O:O,"High")/COUNTA(Table1[Student_ID])</f>
        <v>0.5787234042553191</v>
      </c>
      <c r="T590">
        <f>AVERAGE(Table1[Academic Impact Flag])</f>
        <v>0.64255319148936174</v>
      </c>
      <c r="U590">
        <f>AVERAGE(Table1[Sleep_Hours_Per_Night])</f>
        <v>6.868936170212768</v>
      </c>
      <c r="V590">
        <f>AVERAGE(Table1[Mental_Health_Score])</f>
        <v>6.2269503546099294</v>
      </c>
    </row>
    <row r="591" spans="1:22" x14ac:dyDescent="0.3">
      <c r="A591">
        <v>590</v>
      </c>
      <c r="B591">
        <v>22</v>
      </c>
      <c r="C591" t="s">
        <v>18</v>
      </c>
      <c r="D591" t="s">
        <v>19</v>
      </c>
      <c r="E591" t="s">
        <v>54</v>
      </c>
      <c r="F591">
        <v>5.7</v>
      </c>
      <c r="G591" t="s">
        <v>21</v>
      </c>
      <c r="H591" t="s">
        <v>16</v>
      </c>
      <c r="I591">
        <v>6.8</v>
      </c>
      <c r="J591">
        <v>6</v>
      </c>
      <c r="K591" t="s">
        <v>23</v>
      </c>
      <c r="L591">
        <v>7</v>
      </c>
      <c r="M591" t="str">
        <f>IF(Table1[[#This Row],[Age]]&lt;=18,"Teen",IF(Table1[[#This Row],[Age]]&lt;=21,"Young Adult","Adult"))</f>
        <v>Adult</v>
      </c>
      <c r="N591" t="str">
        <f t="shared" si="45"/>
        <v>High</v>
      </c>
      <c r="O591" t="str">
        <f t="shared" si="46"/>
        <v>High</v>
      </c>
      <c r="P591" t="str">
        <f t="shared" si="47"/>
        <v>Average</v>
      </c>
      <c r="Q591">
        <f t="shared" si="48"/>
        <v>1</v>
      </c>
      <c r="R591" t="str">
        <f t="shared" si="49"/>
        <v>Average</v>
      </c>
      <c r="S591">
        <f>COUNTIF('Students Social Media Addiction'!O:O,"High")/COUNTA(Table1[Student_ID])</f>
        <v>0.5787234042553191</v>
      </c>
      <c r="T591">
        <f>AVERAGE(Table1[Academic Impact Flag])</f>
        <v>0.64255319148936174</v>
      </c>
      <c r="U591">
        <f>AVERAGE(Table1[Sleep_Hours_Per_Night])</f>
        <v>6.868936170212768</v>
      </c>
      <c r="V591">
        <f>AVERAGE(Table1[Mental_Health_Score])</f>
        <v>6.2269503546099294</v>
      </c>
    </row>
    <row r="592" spans="1:22" x14ac:dyDescent="0.3">
      <c r="A592">
        <v>591</v>
      </c>
      <c r="B592">
        <v>19</v>
      </c>
      <c r="C592" t="s">
        <v>12</v>
      </c>
      <c r="D592" t="s">
        <v>13</v>
      </c>
      <c r="E592" t="s">
        <v>20</v>
      </c>
      <c r="F592">
        <v>7</v>
      </c>
      <c r="G592" t="s">
        <v>15</v>
      </c>
      <c r="H592" t="s">
        <v>16</v>
      </c>
      <c r="I592">
        <v>5.8</v>
      </c>
      <c r="J592">
        <v>4</v>
      </c>
      <c r="K592" t="s">
        <v>23</v>
      </c>
      <c r="L592">
        <v>9</v>
      </c>
      <c r="M592" t="str">
        <f>IF(Table1[[#This Row],[Age]]&lt;=18,"Teen",IF(Table1[[#This Row],[Age]]&lt;=21,"Young Adult","Adult"))</f>
        <v>Young Adult</v>
      </c>
      <c r="N592" t="str">
        <f t="shared" si="45"/>
        <v>Very High</v>
      </c>
      <c r="O592" t="str">
        <f t="shared" si="46"/>
        <v>High</v>
      </c>
      <c r="P592" t="str">
        <f t="shared" si="47"/>
        <v>Poor</v>
      </c>
      <c r="Q592">
        <f t="shared" si="48"/>
        <v>1</v>
      </c>
      <c r="R592" t="str">
        <f t="shared" si="49"/>
        <v>Poor</v>
      </c>
      <c r="S592">
        <f>COUNTIF('Students Social Media Addiction'!O:O,"High")/COUNTA(Table1[Student_ID])</f>
        <v>0.5787234042553191</v>
      </c>
      <c r="T592">
        <f>AVERAGE(Table1[Academic Impact Flag])</f>
        <v>0.64255319148936174</v>
      </c>
      <c r="U592">
        <f>AVERAGE(Table1[Sleep_Hours_Per_Night])</f>
        <v>6.868936170212768</v>
      </c>
      <c r="V592">
        <f>AVERAGE(Table1[Mental_Health_Score])</f>
        <v>6.2269503546099294</v>
      </c>
    </row>
    <row r="593" spans="1:22" x14ac:dyDescent="0.3">
      <c r="A593">
        <v>592</v>
      </c>
      <c r="B593">
        <v>23</v>
      </c>
      <c r="C593" t="s">
        <v>18</v>
      </c>
      <c r="D593" t="s">
        <v>19</v>
      </c>
      <c r="E593" t="s">
        <v>50</v>
      </c>
      <c r="F593">
        <v>4.3</v>
      </c>
      <c r="G593" t="s">
        <v>31</v>
      </c>
      <c r="H593" t="s">
        <v>22</v>
      </c>
      <c r="I593">
        <v>7.5</v>
      </c>
      <c r="J593">
        <v>7</v>
      </c>
      <c r="K593" t="s">
        <v>17</v>
      </c>
      <c r="L593">
        <v>5</v>
      </c>
      <c r="M593" t="str">
        <f>IF(Table1[[#This Row],[Age]]&lt;=18,"Teen",IF(Table1[[#This Row],[Age]]&lt;=21,"Young Adult","Adult"))</f>
        <v>Adult</v>
      </c>
      <c r="N593" t="str">
        <f t="shared" si="45"/>
        <v>High</v>
      </c>
      <c r="O593" t="str">
        <f t="shared" si="46"/>
        <v>Medium</v>
      </c>
      <c r="P593" t="str">
        <f t="shared" si="47"/>
        <v>Healthy</v>
      </c>
      <c r="Q593">
        <f t="shared" si="48"/>
        <v>0</v>
      </c>
      <c r="R593" t="str">
        <f t="shared" si="49"/>
        <v>Good</v>
      </c>
      <c r="S593">
        <f>COUNTIF('Students Social Media Addiction'!O:O,"High")/COUNTA(Table1[Student_ID])</f>
        <v>0.5787234042553191</v>
      </c>
      <c r="T593">
        <f>AVERAGE(Table1[Academic Impact Flag])</f>
        <v>0.64255319148936174</v>
      </c>
      <c r="U593">
        <f>AVERAGE(Table1[Sleep_Hours_Per_Night])</f>
        <v>6.868936170212768</v>
      </c>
      <c r="V593">
        <f>AVERAGE(Table1[Mental_Health_Score])</f>
        <v>6.2269503546099294</v>
      </c>
    </row>
    <row r="594" spans="1:22" x14ac:dyDescent="0.3">
      <c r="A594">
        <v>593</v>
      </c>
      <c r="B594">
        <v>21</v>
      </c>
      <c r="C594" t="s">
        <v>12</v>
      </c>
      <c r="D594" t="s">
        <v>13</v>
      </c>
      <c r="E594" t="s">
        <v>64</v>
      </c>
      <c r="F594">
        <v>6.9</v>
      </c>
      <c r="G594" t="s">
        <v>25</v>
      </c>
      <c r="H594" t="s">
        <v>16</v>
      </c>
      <c r="I594">
        <v>6.1</v>
      </c>
      <c r="J594">
        <v>5</v>
      </c>
      <c r="K594" t="s">
        <v>23</v>
      </c>
      <c r="L594">
        <v>8</v>
      </c>
      <c r="M594" t="str">
        <f>IF(Table1[[#This Row],[Age]]&lt;=18,"Teen",IF(Table1[[#This Row],[Age]]&lt;=21,"Young Adult","Adult"))</f>
        <v>Young Adult</v>
      </c>
      <c r="N594" t="str">
        <f t="shared" si="45"/>
        <v>Very High</v>
      </c>
      <c r="O594" t="str">
        <f t="shared" si="46"/>
        <v>High</v>
      </c>
      <c r="P594" t="str">
        <f t="shared" si="47"/>
        <v>Average</v>
      </c>
      <c r="Q594">
        <f t="shared" si="48"/>
        <v>1</v>
      </c>
      <c r="R594" t="str">
        <f t="shared" si="49"/>
        <v>Average</v>
      </c>
      <c r="S594">
        <f>COUNTIF('Students Social Media Addiction'!O:O,"High")/COUNTA(Table1[Student_ID])</f>
        <v>0.5787234042553191</v>
      </c>
      <c r="T594">
        <f>AVERAGE(Table1[Academic Impact Flag])</f>
        <v>0.64255319148936174</v>
      </c>
      <c r="U594">
        <f>AVERAGE(Table1[Sleep_Hours_Per_Night])</f>
        <v>6.868936170212768</v>
      </c>
      <c r="V594">
        <f>AVERAGE(Table1[Mental_Health_Score])</f>
        <v>6.2269503546099294</v>
      </c>
    </row>
    <row r="595" spans="1:22" x14ac:dyDescent="0.3">
      <c r="A595">
        <v>594</v>
      </c>
      <c r="B595">
        <v>24</v>
      </c>
      <c r="C595" t="s">
        <v>18</v>
      </c>
      <c r="D595" t="s">
        <v>19</v>
      </c>
      <c r="E595" t="s">
        <v>24</v>
      </c>
      <c r="F595">
        <v>5.6</v>
      </c>
      <c r="G595" t="s">
        <v>15</v>
      </c>
      <c r="H595" t="s">
        <v>16</v>
      </c>
      <c r="I595">
        <v>6.9</v>
      </c>
      <c r="J595">
        <v>6</v>
      </c>
      <c r="K595" t="s">
        <v>17</v>
      </c>
      <c r="L595">
        <v>7</v>
      </c>
      <c r="M595" t="str">
        <f>IF(Table1[[#This Row],[Age]]&lt;=18,"Teen",IF(Table1[[#This Row],[Age]]&lt;=21,"Young Adult","Adult"))</f>
        <v>Adult</v>
      </c>
      <c r="N595" t="str">
        <f t="shared" si="45"/>
        <v>High</v>
      </c>
      <c r="O595" t="str">
        <f t="shared" si="46"/>
        <v>High</v>
      </c>
      <c r="P595" t="str">
        <f t="shared" si="47"/>
        <v>Average</v>
      </c>
      <c r="Q595">
        <f t="shared" si="48"/>
        <v>1</v>
      </c>
      <c r="R595" t="str">
        <f t="shared" si="49"/>
        <v>Average</v>
      </c>
      <c r="S595">
        <f>COUNTIF('Students Social Media Addiction'!O:O,"High")/COUNTA(Table1[Student_ID])</f>
        <v>0.5787234042553191</v>
      </c>
      <c r="T595">
        <f>AVERAGE(Table1[Academic Impact Flag])</f>
        <v>0.64255319148936174</v>
      </c>
      <c r="U595">
        <f>AVERAGE(Table1[Sleep_Hours_Per_Night])</f>
        <v>6.868936170212768</v>
      </c>
      <c r="V595">
        <f>AVERAGE(Table1[Mental_Health_Score])</f>
        <v>6.2269503546099294</v>
      </c>
    </row>
    <row r="596" spans="1:22" x14ac:dyDescent="0.3">
      <c r="A596">
        <v>595</v>
      </c>
      <c r="B596">
        <v>20</v>
      </c>
      <c r="C596" t="s">
        <v>12</v>
      </c>
      <c r="D596" t="s">
        <v>13</v>
      </c>
      <c r="E596" t="s">
        <v>42</v>
      </c>
      <c r="F596">
        <v>6.2</v>
      </c>
      <c r="G596" t="s">
        <v>31</v>
      </c>
      <c r="H596" t="s">
        <v>16</v>
      </c>
      <c r="I596">
        <v>6.3</v>
      </c>
      <c r="J596">
        <v>5</v>
      </c>
      <c r="K596" t="s">
        <v>23</v>
      </c>
      <c r="L596">
        <v>8</v>
      </c>
      <c r="M596" t="str">
        <f>IF(Table1[[#This Row],[Age]]&lt;=18,"Teen",IF(Table1[[#This Row],[Age]]&lt;=21,"Young Adult","Adult"))</f>
        <v>Young Adult</v>
      </c>
      <c r="N596" t="str">
        <f t="shared" si="45"/>
        <v>Very High</v>
      </c>
      <c r="O596" t="str">
        <f t="shared" si="46"/>
        <v>High</v>
      </c>
      <c r="P596" t="str">
        <f t="shared" si="47"/>
        <v>Average</v>
      </c>
      <c r="Q596">
        <f t="shared" si="48"/>
        <v>1</v>
      </c>
      <c r="R596" t="str">
        <f t="shared" si="49"/>
        <v>Average</v>
      </c>
      <c r="S596">
        <f>COUNTIF('Students Social Media Addiction'!O:O,"High")/COUNTA(Table1[Student_ID])</f>
        <v>0.5787234042553191</v>
      </c>
      <c r="T596">
        <f>AVERAGE(Table1[Academic Impact Flag])</f>
        <v>0.64255319148936174</v>
      </c>
      <c r="U596">
        <f>AVERAGE(Table1[Sleep_Hours_Per_Night])</f>
        <v>6.868936170212768</v>
      </c>
      <c r="V596">
        <f>AVERAGE(Table1[Mental_Health_Score])</f>
        <v>6.2269503546099294</v>
      </c>
    </row>
    <row r="597" spans="1:22" x14ac:dyDescent="0.3">
      <c r="A597">
        <v>596</v>
      </c>
      <c r="B597">
        <v>21</v>
      </c>
      <c r="C597" t="s">
        <v>18</v>
      </c>
      <c r="D597" t="s">
        <v>13</v>
      </c>
      <c r="E597" t="s">
        <v>39</v>
      </c>
      <c r="F597">
        <v>5.8</v>
      </c>
      <c r="G597" t="s">
        <v>15</v>
      </c>
      <c r="H597" t="s">
        <v>16</v>
      </c>
      <c r="I597">
        <v>6.7</v>
      </c>
      <c r="J597">
        <v>6</v>
      </c>
      <c r="K597" t="s">
        <v>23</v>
      </c>
      <c r="L597">
        <v>7</v>
      </c>
      <c r="M597" t="str">
        <f>IF(Table1[[#This Row],[Age]]&lt;=18,"Teen",IF(Table1[[#This Row],[Age]]&lt;=21,"Young Adult","Adult"))</f>
        <v>Young Adult</v>
      </c>
      <c r="N597" t="str">
        <f t="shared" si="45"/>
        <v>High</v>
      </c>
      <c r="O597" t="str">
        <f t="shared" si="46"/>
        <v>High</v>
      </c>
      <c r="P597" t="str">
        <f t="shared" si="47"/>
        <v>Average</v>
      </c>
      <c r="Q597">
        <f t="shared" si="48"/>
        <v>1</v>
      </c>
      <c r="R597" t="str">
        <f t="shared" si="49"/>
        <v>Average</v>
      </c>
      <c r="S597">
        <f>COUNTIF('Students Social Media Addiction'!O:O,"High")/COUNTA(Table1[Student_ID])</f>
        <v>0.5787234042553191</v>
      </c>
      <c r="T597">
        <f>AVERAGE(Table1[Academic Impact Flag])</f>
        <v>0.64255319148936174</v>
      </c>
      <c r="U597">
        <f>AVERAGE(Table1[Sleep_Hours_Per_Night])</f>
        <v>6.868936170212768</v>
      </c>
      <c r="V597">
        <f>AVERAGE(Table1[Mental_Health_Score])</f>
        <v>6.2269503546099294</v>
      </c>
    </row>
    <row r="598" spans="1:22" x14ac:dyDescent="0.3">
      <c r="A598">
        <v>597</v>
      </c>
      <c r="B598">
        <v>23</v>
      </c>
      <c r="C598" t="s">
        <v>12</v>
      </c>
      <c r="D598" t="s">
        <v>19</v>
      </c>
      <c r="E598" t="s">
        <v>30</v>
      </c>
      <c r="F598">
        <v>4.9000000000000004</v>
      </c>
      <c r="G598" t="s">
        <v>25</v>
      </c>
      <c r="H598" t="s">
        <v>22</v>
      </c>
      <c r="I598">
        <v>7.3</v>
      </c>
      <c r="J598">
        <v>7</v>
      </c>
      <c r="K598" t="s">
        <v>17</v>
      </c>
      <c r="L598">
        <v>5</v>
      </c>
      <c r="M598" t="str">
        <f>IF(Table1[[#This Row],[Age]]&lt;=18,"Teen",IF(Table1[[#This Row],[Age]]&lt;=21,"Young Adult","Adult"))</f>
        <v>Adult</v>
      </c>
      <c r="N598" t="str">
        <f t="shared" si="45"/>
        <v>High</v>
      </c>
      <c r="O598" t="str">
        <f t="shared" si="46"/>
        <v>Medium</v>
      </c>
      <c r="P598" t="str">
        <f t="shared" si="47"/>
        <v>Healthy</v>
      </c>
      <c r="Q598">
        <f t="shared" si="48"/>
        <v>0</v>
      </c>
      <c r="R598" t="str">
        <f t="shared" si="49"/>
        <v>Good</v>
      </c>
      <c r="S598">
        <f>COUNTIF('Students Social Media Addiction'!O:O,"High")/COUNTA(Table1[Student_ID])</f>
        <v>0.5787234042553191</v>
      </c>
      <c r="T598">
        <f>AVERAGE(Table1[Academic Impact Flag])</f>
        <v>0.64255319148936174</v>
      </c>
      <c r="U598">
        <f>AVERAGE(Table1[Sleep_Hours_Per_Night])</f>
        <v>6.868936170212768</v>
      </c>
      <c r="V598">
        <f>AVERAGE(Table1[Mental_Health_Score])</f>
        <v>6.2269503546099294</v>
      </c>
    </row>
    <row r="599" spans="1:22" x14ac:dyDescent="0.3">
      <c r="A599">
        <v>598</v>
      </c>
      <c r="B599">
        <v>20</v>
      </c>
      <c r="C599" t="s">
        <v>18</v>
      </c>
      <c r="D599" t="s">
        <v>13</v>
      </c>
      <c r="E599" t="s">
        <v>28</v>
      </c>
      <c r="F599">
        <v>6.4</v>
      </c>
      <c r="G599" t="s">
        <v>31</v>
      </c>
      <c r="H599" t="s">
        <v>16</v>
      </c>
      <c r="I599">
        <v>6.2</v>
      </c>
      <c r="J599">
        <v>5</v>
      </c>
      <c r="K599" t="s">
        <v>23</v>
      </c>
      <c r="L599">
        <v>8</v>
      </c>
      <c r="M599" t="str">
        <f>IF(Table1[[#This Row],[Age]]&lt;=18,"Teen",IF(Table1[[#This Row],[Age]]&lt;=21,"Young Adult","Adult"))</f>
        <v>Young Adult</v>
      </c>
      <c r="N599" t="str">
        <f t="shared" si="45"/>
        <v>Very High</v>
      </c>
      <c r="O599" t="str">
        <f t="shared" si="46"/>
        <v>High</v>
      </c>
      <c r="P599" t="str">
        <f t="shared" si="47"/>
        <v>Average</v>
      </c>
      <c r="Q599">
        <f t="shared" si="48"/>
        <v>1</v>
      </c>
      <c r="R599" t="str">
        <f t="shared" si="49"/>
        <v>Average</v>
      </c>
      <c r="S599">
        <f>COUNTIF('Students Social Media Addiction'!O:O,"High")/COUNTA(Table1[Student_ID])</f>
        <v>0.5787234042553191</v>
      </c>
      <c r="T599">
        <f>AVERAGE(Table1[Academic Impact Flag])</f>
        <v>0.64255319148936174</v>
      </c>
      <c r="U599">
        <f>AVERAGE(Table1[Sleep_Hours_Per_Night])</f>
        <v>6.868936170212768</v>
      </c>
      <c r="V599">
        <f>AVERAGE(Table1[Mental_Health_Score])</f>
        <v>6.2269503546099294</v>
      </c>
    </row>
    <row r="600" spans="1:22" x14ac:dyDescent="0.3">
      <c r="A600">
        <v>599</v>
      </c>
      <c r="B600">
        <v>22</v>
      </c>
      <c r="C600" t="s">
        <v>12</v>
      </c>
      <c r="D600" t="s">
        <v>19</v>
      </c>
      <c r="E600" t="s">
        <v>41</v>
      </c>
      <c r="F600">
        <v>5.0999999999999996</v>
      </c>
      <c r="G600" t="s">
        <v>21</v>
      </c>
      <c r="H600" t="s">
        <v>22</v>
      </c>
      <c r="I600">
        <v>7.1</v>
      </c>
      <c r="J600">
        <v>7</v>
      </c>
      <c r="K600" t="s">
        <v>17</v>
      </c>
      <c r="L600">
        <v>5</v>
      </c>
      <c r="M600" t="str">
        <f>IF(Table1[[#This Row],[Age]]&lt;=18,"Teen",IF(Table1[[#This Row],[Age]]&lt;=21,"Young Adult","Adult"))</f>
        <v>Adult</v>
      </c>
      <c r="N600" t="str">
        <f t="shared" si="45"/>
        <v>High</v>
      </c>
      <c r="O600" t="str">
        <f t="shared" si="46"/>
        <v>Medium</v>
      </c>
      <c r="P600" t="str">
        <f t="shared" si="47"/>
        <v>Healthy</v>
      </c>
      <c r="Q600">
        <f t="shared" si="48"/>
        <v>0</v>
      </c>
      <c r="R600" t="str">
        <f t="shared" si="49"/>
        <v>Good</v>
      </c>
      <c r="S600">
        <f>COUNTIF('Students Social Media Addiction'!O:O,"High")/COUNTA(Table1[Student_ID])</f>
        <v>0.5787234042553191</v>
      </c>
      <c r="T600">
        <f>AVERAGE(Table1[Academic Impact Flag])</f>
        <v>0.64255319148936174</v>
      </c>
      <c r="U600">
        <f>AVERAGE(Table1[Sleep_Hours_Per_Night])</f>
        <v>6.868936170212768</v>
      </c>
      <c r="V600">
        <f>AVERAGE(Table1[Mental_Health_Score])</f>
        <v>6.2269503546099294</v>
      </c>
    </row>
    <row r="601" spans="1:22" x14ac:dyDescent="0.3">
      <c r="A601">
        <v>600</v>
      </c>
      <c r="B601">
        <v>19</v>
      </c>
      <c r="C601" t="s">
        <v>18</v>
      </c>
      <c r="D601" t="s">
        <v>13</v>
      </c>
      <c r="E601" t="s">
        <v>43</v>
      </c>
      <c r="F601">
        <v>6.7</v>
      </c>
      <c r="G601" t="s">
        <v>15</v>
      </c>
      <c r="H601" t="s">
        <v>16</v>
      </c>
      <c r="I601">
        <v>6</v>
      </c>
      <c r="J601">
        <v>4</v>
      </c>
      <c r="K601" t="s">
        <v>23</v>
      </c>
      <c r="L601">
        <v>8</v>
      </c>
      <c r="M601" t="str">
        <f>IF(Table1[[#This Row],[Age]]&lt;=18,"Teen",IF(Table1[[#This Row],[Age]]&lt;=21,"Young Adult","Adult"))</f>
        <v>Young Adult</v>
      </c>
      <c r="N601" t="str">
        <f t="shared" si="45"/>
        <v>Very High</v>
      </c>
      <c r="O601" t="str">
        <f t="shared" si="46"/>
        <v>High</v>
      </c>
      <c r="P601" t="str">
        <f t="shared" si="47"/>
        <v>Average</v>
      </c>
      <c r="Q601">
        <f t="shared" si="48"/>
        <v>1</v>
      </c>
      <c r="R601" t="str">
        <f t="shared" si="49"/>
        <v>Poor</v>
      </c>
      <c r="S601">
        <f>COUNTIF('Students Social Media Addiction'!O:O,"High")/COUNTA(Table1[Student_ID])</f>
        <v>0.5787234042553191</v>
      </c>
      <c r="T601">
        <f>AVERAGE(Table1[Academic Impact Flag])</f>
        <v>0.64255319148936174</v>
      </c>
      <c r="U601">
        <f>AVERAGE(Table1[Sleep_Hours_Per_Night])</f>
        <v>6.868936170212768</v>
      </c>
      <c r="V601">
        <f>AVERAGE(Table1[Mental_Health_Score])</f>
        <v>6.2269503546099294</v>
      </c>
    </row>
    <row r="602" spans="1:22" x14ac:dyDescent="0.3">
      <c r="A602">
        <v>601</v>
      </c>
      <c r="B602">
        <v>24</v>
      </c>
      <c r="C602" t="s">
        <v>12</v>
      </c>
      <c r="D602" t="s">
        <v>19</v>
      </c>
      <c r="E602" t="s">
        <v>44</v>
      </c>
      <c r="F602">
        <v>5.5</v>
      </c>
      <c r="G602" t="s">
        <v>143</v>
      </c>
      <c r="H602" t="s">
        <v>16</v>
      </c>
      <c r="I602">
        <v>6.8</v>
      </c>
      <c r="J602">
        <v>6</v>
      </c>
      <c r="K602" t="s">
        <v>17</v>
      </c>
      <c r="L602">
        <v>7</v>
      </c>
      <c r="M602" t="str">
        <f>IF(Table1[[#This Row],[Age]]&lt;=18,"Teen",IF(Table1[[#This Row],[Age]]&lt;=21,"Young Adult","Adult"))</f>
        <v>Adult</v>
      </c>
      <c r="N602" t="str">
        <f t="shared" si="45"/>
        <v>High</v>
      </c>
      <c r="O602" t="str">
        <f t="shared" si="46"/>
        <v>High</v>
      </c>
      <c r="P602" t="str">
        <f t="shared" si="47"/>
        <v>Average</v>
      </c>
      <c r="Q602">
        <f t="shared" si="48"/>
        <v>1</v>
      </c>
      <c r="R602" t="str">
        <f t="shared" si="49"/>
        <v>Average</v>
      </c>
      <c r="S602">
        <f>COUNTIF('Students Social Media Addiction'!O:O,"High")/COUNTA(Table1[Student_ID])</f>
        <v>0.5787234042553191</v>
      </c>
      <c r="T602">
        <f>AVERAGE(Table1[Academic Impact Flag])</f>
        <v>0.64255319148936174</v>
      </c>
      <c r="U602">
        <f>AVERAGE(Table1[Sleep_Hours_Per_Night])</f>
        <v>6.868936170212768</v>
      </c>
      <c r="V602">
        <f>AVERAGE(Table1[Mental_Health_Score])</f>
        <v>6.2269503546099294</v>
      </c>
    </row>
    <row r="603" spans="1:22" x14ac:dyDescent="0.3">
      <c r="A603">
        <v>602</v>
      </c>
      <c r="B603">
        <v>21</v>
      </c>
      <c r="C603" t="s">
        <v>18</v>
      </c>
      <c r="D603" t="s">
        <v>13</v>
      </c>
      <c r="E603" t="s">
        <v>37</v>
      </c>
      <c r="F603">
        <v>4.3</v>
      </c>
      <c r="G603" t="s">
        <v>21</v>
      </c>
      <c r="H603" t="s">
        <v>22</v>
      </c>
      <c r="I603">
        <v>7.6</v>
      </c>
      <c r="J603">
        <v>8</v>
      </c>
      <c r="K603" t="s">
        <v>23</v>
      </c>
      <c r="L603">
        <v>4</v>
      </c>
      <c r="M603" t="str">
        <f>IF(Table1[[#This Row],[Age]]&lt;=18,"Teen",IF(Table1[[#This Row],[Age]]&lt;=21,"Young Adult","Adult"))</f>
        <v>Young Adult</v>
      </c>
      <c r="N603" t="str">
        <f t="shared" si="45"/>
        <v>High</v>
      </c>
      <c r="O603" t="str">
        <f t="shared" si="46"/>
        <v>Medium</v>
      </c>
      <c r="P603" t="str">
        <f t="shared" si="47"/>
        <v>Healthy</v>
      </c>
      <c r="Q603">
        <f t="shared" si="48"/>
        <v>0</v>
      </c>
      <c r="R603" t="str">
        <f t="shared" si="49"/>
        <v>Good</v>
      </c>
      <c r="S603">
        <f>COUNTIF('Students Social Media Addiction'!O:O,"High")/COUNTA(Table1[Student_ID])</f>
        <v>0.5787234042553191</v>
      </c>
      <c r="T603">
        <f>AVERAGE(Table1[Academic Impact Flag])</f>
        <v>0.64255319148936174</v>
      </c>
      <c r="U603">
        <f>AVERAGE(Table1[Sleep_Hours_Per_Night])</f>
        <v>6.868936170212768</v>
      </c>
      <c r="V603">
        <f>AVERAGE(Table1[Mental_Health_Score])</f>
        <v>6.2269503546099294</v>
      </c>
    </row>
    <row r="604" spans="1:22" x14ac:dyDescent="0.3">
      <c r="A604">
        <v>603</v>
      </c>
      <c r="B604">
        <v>23</v>
      </c>
      <c r="C604" t="s">
        <v>12</v>
      </c>
      <c r="D604" t="s">
        <v>19</v>
      </c>
      <c r="E604" t="s">
        <v>89</v>
      </c>
      <c r="F604">
        <v>6.2</v>
      </c>
      <c r="G604" t="s">
        <v>15</v>
      </c>
      <c r="H604" t="s">
        <v>16</v>
      </c>
      <c r="I604">
        <v>6.4</v>
      </c>
      <c r="J604">
        <v>5</v>
      </c>
      <c r="K604" t="s">
        <v>23</v>
      </c>
      <c r="L604">
        <v>8</v>
      </c>
      <c r="M604" t="str">
        <f>IF(Table1[[#This Row],[Age]]&lt;=18,"Teen",IF(Table1[[#This Row],[Age]]&lt;=21,"Young Adult","Adult"))</f>
        <v>Adult</v>
      </c>
      <c r="N604" t="str">
        <f t="shared" si="45"/>
        <v>Very High</v>
      </c>
      <c r="O604" t="str">
        <f t="shared" si="46"/>
        <v>High</v>
      </c>
      <c r="P604" t="str">
        <f t="shared" si="47"/>
        <v>Average</v>
      </c>
      <c r="Q604">
        <f t="shared" si="48"/>
        <v>1</v>
      </c>
      <c r="R604" t="str">
        <f t="shared" si="49"/>
        <v>Average</v>
      </c>
      <c r="S604">
        <f>COUNTIF('Students Social Media Addiction'!O:O,"High")/COUNTA(Table1[Student_ID])</f>
        <v>0.5787234042553191</v>
      </c>
      <c r="T604">
        <f>AVERAGE(Table1[Academic Impact Flag])</f>
        <v>0.64255319148936174</v>
      </c>
      <c r="U604">
        <f>AVERAGE(Table1[Sleep_Hours_Per_Night])</f>
        <v>6.868936170212768</v>
      </c>
      <c r="V604">
        <f>AVERAGE(Table1[Mental_Health_Score])</f>
        <v>6.2269503546099294</v>
      </c>
    </row>
    <row r="605" spans="1:22" x14ac:dyDescent="0.3">
      <c r="A605">
        <v>604</v>
      </c>
      <c r="B605">
        <v>20</v>
      </c>
      <c r="C605" t="s">
        <v>18</v>
      </c>
      <c r="D605" t="s">
        <v>13</v>
      </c>
      <c r="E605" t="s">
        <v>88</v>
      </c>
      <c r="F605">
        <v>4.5</v>
      </c>
      <c r="G605" t="s">
        <v>31</v>
      </c>
      <c r="H605" t="s">
        <v>22</v>
      </c>
      <c r="I605">
        <v>7.4</v>
      </c>
      <c r="J605">
        <v>7</v>
      </c>
      <c r="K605" t="s">
        <v>17</v>
      </c>
      <c r="L605">
        <v>5</v>
      </c>
      <c r="M605" t="str">
        <f>IF(Table1[[#This Row],[Age]]&lt;=18,"Teen",IF(Table1[[#This Row],[Age]]&lt;=21,"Young Adult","Adult"))</f>
        <v>Young Adult</v>
      </c>
      <c r="N605" t="str">
        <f t="shared" si="45"/>
        <v>High</v>
      </c>
      <c r="O605" t="str">
        <f t="shared" si="46"/>
        <v>Medium</v>
      </c>
      <c r="P605" t="str">
        <f t="shared" si="47"/>
        <v>Healthy</v>
      </c>
      <c r="Q605">
        <f t="shared" si="48"/>
        <v>0</v>
      </c>
      <c r="R605" t="str">
        <f t="shared" si="49"/>
        <v>Good</v>
      </c>
      <c r="S605">
        <f>COUNTIF('Students Social Media Addiction'!O:O,"High")/COUNTA(Table1[Student_ID])</f>
        <v>0.5787234042553191</v>
      </c>
      <c r="T605">
        <f>AVERAGE(Table1[Academic Impact Flag])</f>
        <v>0.64255319148936174</v>
      </c>
      <c r="U605">
        <f>AVERAGE(Table1[Sleep_Hours_Per_Night])</f>
        <v>6.868936170212768</v>
      </c>
      <c r="V605">
        <f>AVERAGE(Table1[Mental_Health_Score])</f>
        <v>6.2269503546099294</v>
      </c>
    </row>
    <row r="606" spans="1:22" x14ac:dyDescent="0.3">
      <c r="A606">
        <v>605</v>
      </c>
      <c r="B606">
        <v>22</v>
      </c>
      <c r="C606" t="s">
        <v>12</v>
      </c>
      <c r="D606" t="s">
        <v>19</v>
      </c>
      <c r="E606" t="s">
        <v>40</v>
      </c>
      <c r="F606">
        <v>6.3</v>
      </c>
      <c r="G606" t="s">
        <v>25</v>
      </c>
      <c r="H606" t="s">
        <v>16</v>
      </c>
      <c r="I606">
        <v>6.3</v>
      </c>
      <c r="J606">
        <v>5</v>
      </c>
      <c r="K606" t="s">
        <v>23</v>
      </c>
      <c r="L606">
        <v>8</v>
      </c>
      <c r="M606" t="str">
        <f>IF(Table1[[#This Row],[Age]]&lt;=18,"Teen",IF(Table1[[#This Row],[Age]]&lt;=21,"Young Adult","Adult"))</f>
        <v>Adult</v>
      </c>
      <c r="N606" t="str">
        <f t="shared" si="45"/>
        <v>Very High</v>
      </c>
      <c r="O606" t="str">
        <f t="shared" si="46"/>
        <v>High</v>
      </c>
      <c r="P606" t="str">
        <f t="shared" si="47"/>
        <v>Average</v>
      </c>
      <c r="Q606">
        <f t="shared" si="48"/>
        <v>1</v>
      </c>
      <c r="R606" t="str">
        <f t="shared" si="49"/>
        <v>Average</v>
      </c>
      <c r="S606">
        <f>COUNTIF('Students Social Media Addiction'!O:O,"High")/COUNTA(Table1[Student_ID])</f>
        <v>0.5787234042553191</v>
      </c>
      <c r="T606">
        <f>AVERAGE(Table1[Academic Impact Flag])</f>
        <v>0.64255319148936174</v>
      </c>
      <c r="U606">
        <f>AVERAGE(Table1[Sleep_Hours_Per_Night])</f>
        <v>6.868936170212768</v>
      </c>
      <c r="V606">
        <f>AVERAGE(Table1[Mental_Health_Score])</f>
        <v>6.2269503546099294</v>
      </c>
    </row>
    <row r="607" spans="1:22" x14ac:dyDescent="0.3">
      <c r="A607">
        <v>606</v>
      </c>
      <c r="B607">
        <v>19</v>
      </c>
      <c r="C607" t="s">
        <v>18</v>
      </c>
      <c r="D607" t="s">
        <v>13</v>
      </c>
      <c r="E607" t="s">
        <v>47</v>
      </c>
      <c r="F607">
        <v>4.7</v>
      </c>
      <c r="G607" t="s">
        <v>15</v>
      </c>
      <c r="H607" t="s">
        <v>22</v>
      </c>
      <c r="I607">
        <v>7.2</v>
      </c>
      <c r="J607">
        <v>7</v>
      </c>
      <c r="K607" t="s">
        <v>17</v>
      </c>
      <c r="L607">
        <v>5</v>
      </c>
      <c r="M607" t="str">
        <f>IF(Table1[[#This Row],[Age]]&lt;=18,"Teen",IF(Table1[[#This Row],[Age]]&lt;=21,"Young Adult","Adult"))</f>
        <v>Young Adult</v>
      </c>
      <c r="N607" t="str">
        <f t="shared" si="45"/>
        <v>High</v>
      </c>
      <c r="O607" t="str">
        <f t="shared" si="46"/>
        <v>Medium</v>
      </c>
      <c r="P607" t="str">
        <f t="shared" si="47"/>
        <v>Healthy</v>
      </c>
      <c r="Q607">
        <f t="shared" si="48"/>
        <v>0</v>
      </c>
      <c r="R607" t="str">
        <f t="shared" si="49"/>
        <v>Good</v>
      </c>
      <c r="S607">
        <f>COUNTIF('Students Social Media Addiction'!O:O,"High")/COUNTA(Table1[Student_ID])</f>
        <v>0.5787234042553191</v>
      </c>
      <c r="T607">
        <f>AVERAGE(Table1[Academic Impact Flag])</f>
        <v>0.64255319148936174</v>
      </c>
      <c r="U607">
        <f>AVERAGE(Table1[Sleep_Hours_Per_Night])</f>
        <v>6.868936170212768</v>
      </c>
      <c r="V607">
        <f>AVERAGE(Table1[Mental_Health_Score])</f>
        <v>6.2269503546099294</v>
      </c>
    </row>
    <row r="608" spans="1:22" x14ac:dyDescent="0.3">
      <c r="A608">
        <v>607</v>
      </c>
      <c r="B608">
        <v>24</v>
      </c>
      <c r="C608" t="s">
        <v>12</v>
      </c>
      <c r="D608" t="s">
        <v>19</v>
      </c>
      <c r="E608" t="s">
        <v>54</v>
      </c>
      <c r="F608">
        <v>5.9</v>
      </c>
      <c r="G608" t="s">
        <v>21</v>
      </c>
      <c r="H608" t="s">
        <v>16</v>
      </c>
      <c r="I608">
        <v>6.6</v>
      </c>
      <c r="J608">
        <v>6</v>
      </c>
      <c r="K608" t="s">
        <v>23</v>
      </c>
      <c r="L608">
        <v>7</v>
      </c>
      <c r="M608" t="str">
        <f>IF(Table1[[#This Row],[Age]]&lt;=18,"Teen",IF(Table1[[#This Row],[Age]]&lt;=21,"Young Adult","Adult"))</f>
        <v>Adult</v>
      </c>
      <c r="N608" t="str">
        <f t="shared" si="45"/>
        <v>High</v>
      </c>
      <c r="O608" t="str">
        <f t="shared" si="46"/>
        <v>High</v>
      </c>
      <c r="P608" t="str">
        <f t="shared" si="47"/>
        <v>Average</v>
      </c>
      <c r="Q608">
        <f t="shared" si="48"/>
        <v>1</v>
      </c>
      <c r="R608" t="str">
        <f t="shared" si="49"/>
        <v>Average</v>
      </c>
      <c r="S608">
        <f>COUNTIF('Students Social Media Addiction'!O:O,"High")/COUNTA(Table1[Student_ID])</f>
        <v>0.5787234042553191</v>
      </c>
      <c r="T608">
        <f>AVERAGE(Table1[Academic Impact Flag])</f>
        <v>0.64255319148936174</v>
      </c>
      <c r="U608">
        <f>AVERAGE(Table1[Sleep_Hours_Per_Night])</f>
        <v>6.868936170212768</v>
      </c>
      <c r="V608">
        <f>AVERAGE(Table1[Mental_Health_Score])</f>
        <v>6.2269503546099294</v>
      </c>
    </row>
    <row r="609" spans="1:22" x14ac:dyDescent="0.3">
      <c r="A609">
        <v>608</v>
      </c>
      <c r="B609">
        <v>21</v>
      </c>
      <c r="C609" t="s">
        <v>18</v>
      </c>
      <c r="D609" t="s">
        <v>13</v>
      </c>
      <c r="E609" t="s">
        <v>20</v>
      </c>
      <c r="F609">
        <v>7.1</v>
      </c>
      <c r="G609" t="s">
        <v>31</v>
      </c>
      <c r="H609" t="s">
        <v>16</v>
      </c>
      <c r="I609">
        <v>5.7</v>
      </c>
      <c r="J609">
        <v>4</v>
      </c>
      <c r="K609" t="s">
        <v>23</v>
      </c>
      <c r="L609">
        <v>9</v>
      </c>
      <c r="M609" t="str">
        <f>IF(Table1[[#This Row],[Age]]&lt;=18,"Teen",IF(Table1[[#This Row],[Age]]&lt;=21,"Young Adult","Adult"))</f>
        <v>Young Adult</v>
      </c>
      <c r="N609" t="str">
        <f t="shared" si="45"/>
        <v>Very High</v>
      </c>
      <c r="O609" t="str">
        <f t="shared" si="46"/>
        <v>High</v>
      </c>
      <c r="P609" t="str">
        <f t="shared" si="47"/>
        <v>Poor</v>
      </c>
      <c r="Q609">
        <f t="shared" si="48"/>
        <v>1</v>
      </c>
      <c r="R609" t="str">
        <f t="shared" si="49"/>
        <v>Poor</v>
      </c>
      <c r="S609">
        <f>COUNTIF('Students Social Media Addiction'!O:O,"High")/COUNTA(Table1[Student_ID])</f>
        <v>0.5787234042553191</v>
      </c>
      <c r="T609">
        <f>AVERAGE(Table1[Academic Impact Flag])</f>
        <v>0.64255319148936174</v>
      </c>
      <c r="U609">
        <f>AVERAGE(Table1[Sleep_Hours_Per_Night])</f>
        <v>6.868936170212768</v>
      </c>
      <c r="V609">
        <f>AVERAGE(Table1[Mental_Health_Score])</f>
        <v>6.2269503546099294</v>
      </c>
    </row>
    <row r="610" spans="1:22" x14ac:dyDescent="0.3">
      <c r="A610">
        <v>609</v>
      </c>
      <c r="B610">
        <v>23</v>
      </c>
      <c r="C610" t="s">
        <v>12</v>
      </c>
      <c r="D610" t="s">
        <v>19</v>
      </c>
      <c r="E610" t="s">
        <v>50</v>
      </c>
      <c r="F610">
        <v>4.4000000000000004</v>
      </c>
      <c r="G610" t="s">
        <v>15</v>
      </c>
      <c r="H610" t="s">
        <v>22</v>
      </c>
      <c r="I610">
        <v>7.4</v>
      </c>
      <c r="J610">
        <v>7</v>
      </c>
      <c r="K610" t="s">
        <v>17</v>
      </c>
      <c r="L610">
        <v>5</v>
      </c>
      <c r="M610" t="str">
        <f>IF(Table1[[#This Row],[Age]]&lt;=18,"Teen",IF(Table1[[#This Row],[Age]]&lt;=21,"Young Adult","Adult"))</f>
        <v>Adult</v>
      </c>
      <c r="N610" t="str">
        <f t="shared" si="45"/>
        <v>High</v>
      </c>
      <c r="O610" t="str">
        <f t="shared" si="46"/>
        <v>Medium</v>
      </c>
      <c r="P610" t="str">
        <f t="shared" si="47"/>
        <v>Healthy</v>
      </c>
      <c r="Q610">
        <f t="shared" si="48"/>
        <v>0</v>
      </c>
      <c r="R610" t="str">
        <f t="shared" si="49"/>
        <v>Good</v>
      </c>
      <c r="S610">
        <f>COUNTIF('Students Social Media Addiction'!O:O,"High")/COUNTA(Table1[Student_ID])</f>
        <v>0.5787234042553191</v>
      </c>
      <c r="T610">
        <f>AVERAGE(Table1[Academic Impact Flag])</f>
        <v>0.64255319148936174</v>
      </c>
      <c r="U610">
        <f>AVERAGE(Table1[Sleep_Hours_Per_Night])</f>
        <v>6.868936170212768</v>
      </c>
      <c r="V610">
        <f>AVERAGE(Table1[Mental_Health_Score])</f>
        <v>6.2269503546099294</v>
      </c>
    </row>
    <row r="611" spans="1:22" x14ac:dyDescent="0.3">
      <c r="A611">
        <v>610</v>
      </c>
      <c r="B611">
        <v>20</v>
      </c>
      <c r="C611" t="s">
        <v>18</v>
      </c>
      <c r="D611" t="s">
        <v>13</v>
      </c>
      <c r="E611" t="s">
        <v>64</v>
      </c>
      <c r="F611">
        <v>6.6</v>
      </c>
      <c r="G611" t="s">
        <v>25</v>
      </c>
      <c r="H611" t="s">
        <v>16</v>
      </c>
      <c r="I611">
        <v>6.2</v>
      </c>
      <c r="J611">
        <v>5</v>
      </c>
      <c r="K611" t="s">
        <v>23</v>
      </c>
      <c r="L611">
        <v>8</v>
      </c>
      <c r="M611" t="str">
        <f>IF(Table1[[#This Row],[Age]]&lt;=18,"Teen",IF(Table1[[#This Row],[Age]]&lt;=21,"Young Adult","Adult"))</f>
        <v>Young Adult</v>
      </c>
      <c r="N611" t="str">
        <f t="shared" si="45"/>
        <v>Very High</v>
      </c>
      <c r="O611" t="str">
        <f t="shared" si="46"/>
        <v>High</v>
      </c>
      <c r="P611" t="str">
        <f t="shared" si="47"/>
        <v>Average</v>
      </c>
      <c r="Q611">
        <f t="shared" si="48"/>
        <v>1</v>
      </c>
      <c r="R611" t="str">
        <f t="shared" si="49"/>
        <v>Average</v>
      </c>
      <c r="S611">
        <f>COUNTIF('Students Social Media Addiction'!O:O,"High")/COUNTA(Table1[Student_ID])</f>
        <v>0.5787234042553191</v>
      </c>
      <c r="T611">
        <f>AVERAGE(Table1[Academic Impact Flag])</f>
        <v>0.64255319148936174</v>
      </c>
      <c r="U611">
        <f>AVERAGE(Table1[Sleep_Hours_Per_Night])</f>
        <v>6.868936170212768</v>
      </c>
      <c r="V611">
        <f>AVERAGE(Table1[Mental_Health_Score])</f>
        <v>6.2269503546099294</v>
      </c>
    </row>
    <row r="612" spans="1:22" x14ac:dyDescent="0.3">
      <c r="A612">
        <v>611</v>
      </c>
      <c r="B612">
        <v>22</v>
      </c>
      <c r="C612" t="s">
        <v>12</v>
      </c>
      <c r="D612" t="s">
        <v>19</v>
      </c>
      <c r="E612" t="s">
        <v>24</v>
      </c>
      <c r="F612">
        <v>5.4</v>
      </c>
      <c r="G612" t="s">
        <v>15</v>
      </c>
      <c r="H612" t="s">
        <v>16</v>
      </c>
      <c r="I612">
        <v>6.9</v>
      </c>
      <c r="J612">
        <v>6</v>
      </c>
      <c r="K612" t="s">
        <v>17</v>
      </c>
      <c r="L612">
        <v>7</v>
      </c>
      <c r="M612" t="str">
        <f>IF(Table1[[#This Row],[Age]]&lt;=18,"Teen",IF(Table1[[#This Row],[Age]]&lt;=21,"Young Adult","Adult"))</f>
        <v>Adult</v>
      </c>
      <c r="N612" t="str">
        <f t="shared" si="45"/>
        <v>High</v>
      </c>
      <c r="O612" t="str">
        <f t="shared" si="46"/>
        <v>High</v>
      </c>
      <c r="P612" t="str">
        <f t="shared" si="47"/>
        <v>Average</v>
      </c>
      <c r="Q612">
        <f t="shared" si="48"/>
        <v>1</v>
      </c>
      <c r="R612" t="str">
        <f t="shared" si="49"/>
        <v>Average</v>
      </c>
      <c r="S612">
        <f>COUNTIF('Students Social Media Addiction'!O:O,"High")/COUNTA(Table1[Student_ID])</f>
        <v>0.5787234042553191</v>
      </c>
      <c r="T612">
        <f>AVERAGE(Table1[Academic Impact Flag])</f>
        <v>0.64255319148936174</v>
      </c>
      <c r="U612">
        <f>AVERAGE(Table1[Sleep_Hours_Per_Night])</f>
        <v>6.868936170212768</v>
      </c>
      <c r="V612">
        <f>AVERAGE(Table1[Mental_Health_Score])</f>
        <v>6.2269503546099294</v>
      </c>
    </row>
    <row r="613" spans="1:22" x14ac:dyDescent="0.3">
      <c r="A613">
        <v>612</v>
      </c>
      <c r="B613">
        <v>19</v>
      </c>
      <c r="C613" t="s">
        <v>18</v>
      </c>
      <c r="D613" t="s">
        <v>13</v>
      </c>
      <c r="E613" t="s">
        <v>42</v>
      </c>
      <c r="F613">
        <v>6.5</v>
      </c>
      <c r="G613" t="s">
        <v>31</v>
      </c>
      <c r="H613" t="s">
        <v>16</v>
      </c>
      <c r="I613">
        <v>6.1</v>
      </c>
      <c r="J613">
        <v>5</v>
      </c>
      <c r="K613" t="s">
        <v>23</v>
      </c>
      <c r="L613">
        <v>8</v>
      </c>
      <c r="M613" t="str">
        <f>IF(Table1[[#This Row],[Age]]&lt;=18,"Teen",IF(Table1[[#This Row],[Age]]&lt;=21,"Young Adult","Adult"))</f>
        <v>Young Adult</v>
      </c>
      <c r="N613" t="str">
        <f t="shared" si="45"/>
        <v>Very High</v>
      </c>
      <c r="O613" t="str">
        <f t="shared" si="46"/>
        <v>High</v>
      </c>
      <c r="P613" t="str">
        <f t="shared" si="47"/>
        <v>Average</v>
      </c>
      <c r="Q613">
        <f t="shared" si="48"/>
        <v>1</v>
      </c>
      <c r="R613" t="str">
        <f t="shared" si="49"/>
        <v>Average</v>
      </c>
      <c r="S613">
        <f>COUNTIF('Students Social Media Addiction'!O:O,"High")/COUNTA(Table1[Student_ID])</f>
        <v>0.5787234042553191</v>
      </c>
      <c r="T613">
        <f>AVERAGE(Table1[Academic Impact Flag])</f>
        <v>0.64255319148936174</v>
      </c>
      <c r="U613">
        <f>AVERAGE(Table1[Sleep_Hours_Per_Night])</f>
        <v>6.868936170212768</v>
      </c>
      <c r="V613">
        <f>AVERAGE(Table1[Mental_Health_Score])</f>
        <v>6.2269503546099294</v>
      </c>
    </row>
    <row r="614" spans="1:22" x14ac:dyDescent="0.3">
      <c r="A614">
        <v>613</v>
      </c>
      <c r="B614">
        <v>24</v>
      </c>
      <c r="C614" t="s">
        <v>12</v>
      </c>
      <c r="D614" t="s">
        <v>19</v>
      </c>
      <c r="E614" t="s">
        <v>39</v>
      </c>
      <c r="F614">
        <v>4.8</v>
      </c>
      <c r="G614" t="s">
        <v>21</v>
      </c>
      <c r="H614" t="s">
        <v>22</v>
      </c>
      <c r="I614">
        <v>7.3</v>
      </c>
      <c r="J614">
        <v>7</v>
      </c>
      <c r="K614" t="s">
        <v>17</v>
      </c>
      <c r="L614">
        <v>5</v>
      </c>
      <c r="M614" t="str">
        <f>IF(Table1[[#This Row],[Age]]&lt;=18,"Teen",IF(Table1[[#This Row],[Age]]&lt;=21,"Young Adult","Adult"))</f>
        <v>Adult</v>
      </c>
      <c r="N614" t="str">
        <f t="shared" si="45"/>
        <v>High</v>
      </c>
      <c r="O614" t="str">
        <f t="shared" si="46"/>
        <v>Medium</v>
      </c>
      <c r="P614" t="str">
        <f t="shared" si="47"/>
        <v>Healthy</v>
      </c>
      <c r="Q614">
        <f t="shared" si="48"/>
        <v>0</v>
      </c>
      <c r="R614" t="str">
        <f t="shared" si="49"/>
        <v>Good</v>
      </c>
      <c r="S614">
        <f>COUNTIF('Students Social Media Addiction'!O:O,"High")/COUNTA(Table1[Student_ID])</f>
        <v>0.5787234042553191</v>
      </c>
      <c r="T614">
        <f>AVERAGE(Table1[Academic Impact Flag])</f>
        <v>0.64255319148936174</v>
      </c>
      <c r="U614">
        <f>AVERAGE(Table1[Sleep_Hours_Per_Night])</f>
        <v>6.868936170212768</v>
      </c>
      <c r="V614">
        <f>AVERAGE(Table1[Mental_Health_Score])</f>
        <v>6.2269503546099294</v>
      </c>
    </row>
    <row r="615" spans="1:22" x14ac:dyDescent="0.3">
      <c r="A615">
        <v>614</v>
      </c>
      <c r="B615">
        <v>21</v>
      </c>
      <c r="C615" t="s">
        <v>18</v>
      </c>
      <c r="D615" t="s">
        <v>13</v>
      </c>
      <c r="E615" t="s">
        <v>30</v>
      </c>
      <c r="F615">
        <v>5.7</v>
      </c>
      <c r="G615" t="s">
        <v>15</v>
      </c>
      <c r="H615" t="s">
        <v>16</v>
      </c>
      <c r="I615">
        <v>6.7</v>
      </c>
      <c r="J615">
        <v>6</v>
      </c>
      <c r="K615" t="s">
        <v>23</v>
      </c>
      <c r="L615">
        <v>7</v>
      </c>
      <c r="M615" t="str">
        <f>IF(Table1[[#This Row],[Age]]&lt;=18,"Teen",IF(Table1[[#This Row],[Age]]&lt;=21,"Young Adult","Adult"))</f>
        <v>Young Adult</v>
      </c>
      <c r="N615" t="str">
        <f t="shared" si="45"/>
        <v>High</v>
      </c>
      <c r="O615" t="str">
        <f t="shared" si="46"/>
        <v>High</v>
      </c>
      <c r="P615" t="str">
        <f t="shared" si="47"/>
        <v>Average</v>
      </c>
      <c r="Q615">
        <f t="shared" si="48"/>
        <v>1</v>
      </c>
      <c r="R615" t="str">
        <f t="shared" si="49"/>
        <v>Average</v>
      </c>
      <c r="S615">
        <f>COUNTIF('Students Social Media Addiction'!O:O,"High")/COUNTA(Table1[Student_ID])</f>
        <v>0.5787234042553191</v>
      </c>
      <c r="T615">
        <f>AVERAGE(Table1[Academic Impact Flag])</f>
        <v>0.64255319148936174</v>
      </c>
      <c r="U615">
        <f>AVERAGE(Table1[Sleep_Hours_Per_Night])</f>
        <v>6.868936170212768</v>
      </c>
      <c r="V615">
        <f>AVERAGE(Table1[Mental_Health_Score])</f>
        <v>6.2269503546099294</v>
      </c>
    </row>
    <row r="616" spans="1:22" x14ac:dyDescent="0.3">
      <c r="A616">
        <v>615</v>
      </c>
      <c r="B616">
        <v>23</v>
      </c>
      <c r="C616" t="s">
        <v>12</v>
      </c>
      <c r="D616" t="s">
        <v>19</v>
      </c>
      <c r="E616" t="s">
        <v>28</v>
      </c>
      <c r="F616">
        <v>6.1</v>
      </c>
      <c r="G616" t="s">
        <v>25</v>
      </c>
      <c r="H616" t="s">
        <v>16</v>
      </c>
      <c r="I616">
        <v>6.4</v>
      </c>
      <c r="J616">
        <v>5</v>
      </c>
      <c r="K616" t="s">
        <v>23</v>
      </c>
      <c r="L616">
        <v>8</v>
      </c>
      <c r="M616" t="str">
        <f>IF(Table1[[#This Row],[Age]]&lt;=18,"Teen",IF(Table1[[#This Row],[Age]]&lt;=21,"Young Adult","Adult"))</f>
        <v>Adult</v>
      </c>
      <c r="N616" t="str">
        <f t="shared" si="45"/>
        <v>Very High</v>
      </c>
      <c r="O616" t="str">
        <f t="shared" si="46"/>
        <v>High</v>
      </c>
      <c r="P616" t="str">
        <f t="shared" si="47"/>
        <v>Average</v>
      </c>
      <c r="Q616">
        <f t="shared" si="48"/>
        <v>1</v>
      </c>
      <c r="R616" t="str">
        <f t="shared" si="49"/>
        <v>Average</v>
      </c>
      <c r="S616">
        <f>COUNTIF('Students Social Media Addiction'!O:O,"High")/COUNTA(Table1[Student_ID])</f>
        <v>0.5787234042553191</v>
      </c>
      <c r="T616">
        <f>AVERAGE(Table1[Academic Impact Flag])</f>
        <v>0.64255319148936174</v>
      </c>
      <c r="U616">
        <f>AVERAGE(Table1[Sleep_Hours_Per_Night])</f>
        <v>6.868936170212768</v>
      </c>
      <c r="V616">
        <f>AVERAGE(Table1[Mental_Health_Score])</f>
        <v>6.2269503546099294</v>
      </c>
    </row>
    <row r="617" spans="1:22" x14ac:dyDescent="0.3">
      <c r="A617">
        <v>616</v>
      </c>
      <c r="B617">
        <v>20</v>
      </c>
      <c r="C617" t="s">
        <v>18</v>
      </c>
      <c r="D617" t="s">
        <v>13</v>
      </c>
      <c r="E617" t="s">
        <v>41</v>
      </c>
      <c r="F617">
        <v>4.5999999999999996</v>
      </c>
      <c r="G617" t="s">
        <v>31</v>
      </c>
      <c r="H617" t="s">
        <v>22</v>
      </c>
      <c r="I617">
        <v>7.2</v>
      </c>
      <c r="J617">
        <v>7</v>
      </c>
      <c r="K617" t="s">
        <v>17</v>
      </c>
      <c r="L617">
        <v>5</v>
      </c>
      <c r="M617" t="str">
        <f>IF(Table1[[#This Row],[Age]]&lt;=18,"Teen",IF(Table1[[#This Row],[Age]]&lt;=21,"Young Adult","Adult"))</f>
        <v>Young Adult</v>
      </c>
      <c r="N617" t="str">
        <f t="shared" si="45"/>
        <v>High</v>
      </c>
      <c r="O617" t="str">
        <f t="shared" si="46"/>
        <v>Medium</v>
      </c>
      <c r="P617" t="str">
        <f t="shared" si="47"/>
        <v>Healthy</v>
      </c>
      <c r="Q617">
        <f t="shared" si="48"/>
        <v>0</v>
      </c>
      <c r="R617" t="str">
        <f t="shared" si="49"/>
        <v>Good</v>
      </c>
      <c r="S617">
        <f>COUNTIF('Students Social Media Addiction'!O:O,"High")/COUNTA(Table1[Student_ID])</f>
        <v>0.5787234042553191</v>
      </c>
      <c r="T617">
        <f>AVERAGE(Table1[Academic Impact Flag])</f>
        <v>0.64255319148936174</v>
      </c>
      <c r="U617">
        <f>AVERAGE(Table1[Sleep_Hours_Per_Night])</f>
        <v>6.868936170212768</v>
      </c>
      <c r="V617">
        <f>AVERAGE(Table1[Mental_Health_Score])</f>
        <v>6.2269503546099294</v>
      </c>
    </row>
    <row r="618" spans="1:22" x14ac:dyDescent="0.3">
      <c r="A618">
        <v>617</v>
      </c>
      <c r="B618">
        <v>22</v>
      </c>
      <c r="C618" t="s">
        <v>12</v>
      </c>
      <c r="D618" t="s">
        <v>19</v>
      </c>
      <c r="E618" t="s">
        <v>43</v>
      </c>
      <c r="F618">
        <v>6.8</v>
      </c>
      <c r="G618" t="s">
        <v>15</v>
      </c>
      <c r="H618" t="s">
        <v>16</v>
      </c>
      <c r="I618">
        <v>5.9</v>
      </c>
      <c r="J618">
        <v>4</v>
      </c>
      <c r="K618" t="s">
        <v>23</v>
      </c>
      <c r="L618">
        <v>9</v>
      </c>
      <c r="M618" t="str">
        <f>IF(Table1[[#This Row],[Age]]&lt;=18,"Teen",IF(Table1[[#This Row],[Age]]&lt;=21,"Young Adult","Adult"))</f>
        <v>Adult</v>
      </c>
      <c r="N618" t="str">
        <f t="shared" si="45"/>
        <v>Very High</v>
      </c>
      <c r="O618" t="str">
        <f t="shared" si="46"/>
        <v>High</v>
      </c>
      <c r="P618" t="str">
        <f t="shared" si="47"/>
        <v>Poor</v>
      </c>
      <c r="Q618">
        <f t="shared" si="48"/>
        <v>1</v>
      </c>
      <c r="R618" t="str">
        <f t="shared" si="49"/>
        <v>Poor</v>
      </c>
      <c r="S618">
        <f>COUNTIF('Students Social Media Addiction'!O:O,"High")/COUNTA(Table1[Student_ID])</f>
        <v>0.5787234042553191</v>
      </c>
      <c r="T618">
        <f>AVERAGE(Table1[Academic Impact Flag])</f>
        <v>0.64255319148936174</v>
      </c>
      <c r="U618">
        <f>AVERAGE(Table1[Sleep_Hours_Per_Night])</f>
        <v>6.868936170212768</v>
      </c>
      <c r="V618">
        <f>AVERAGE(Table1[Mental_Health_Score])</f>
        <v>6.2269503546099294</v>
      </c>
    </row>
    <row r="619" spans="1:22" x14ac:dyDescent="0.3">
      <c r="A619">
        <v>618</v>
      </c>
      <c r="B619">
        <v>19</v>
      </c>
      <c r="C619" t="s">
        <v>18</v>
      </c>
      <c r="D619" t="s">
        <v>13</v>
      </c>
      <c r="E619" t="s">
        <v>44</v>
      </c>
      <c r="F619">
        <v>5.6</v>
      </c>
      <c r="G619" t="s">
        <v>143</v>
      </c>
      <c r="H619" t="s">
        <v>16</v>
      </c>
      <c r="I619">
        <v>6.8</v>
      </c>
      <c r="J619">
        <v>6</v>
      </c>
      <c r="K619" t="s">
        <v>17</v>
      </c>
      <c r="L619">
        <v>7</v>
      </c>
      <c r="M619" t="str">
        <f>IF(Table1[[#This Row],[Age]]&lt;=18,"Teen",IF(Table1[[#This Row],[Age]]&lt;=21,"Young Adult","Adult"))</f>
        <v>Young Adult</v>
      </c>
      <c r="N619" t="str">
        <f t="shared" si="45"/>
        <v>High</v>
      </c>
      <c r="O619" t="str">
        <f t="shared" si="46"/>
        <v>High</v>
      </c>
      <c r="P619" t="str">
        <f t="shared" si="47"/>
        <v>Average</v>
      </c>
      <c r="Q619">
        <f t="shared" si="48"/>
        <v>1</v>
      </c>
      <c r="R619" t="str">
        <f t="shared" si="49"/>
        <v>Average</v>
      </c>
      <c r="S619">
        <f>COUNTIF('Students Social Media Addiction'!O:O,"High")/COUNTA(Table1[Student_ID])</f>
        <v>0.5787234042553191</v>
      </c>
      <c r="T619">
        <f>AVERAGE(Table1[Academic Impact Flag])</f>
        <v>0.64255319148936174</v>
      </c>
      <c r="U619">
        <f>AVERAGE(Table1[Sleep_Hours_Per_Night])</f>
        <v>6.868936170212768</v>
      </c>
      <c r="V619">
        <f>AVERAGE(Table1[Mental_Health_Score])</f>
        <v>6.2269503546099294</v>
      </c>
    </row>
    <row r="620" spans="1:22" x14ac:dyDescent="0.3">
      <c r="A620">
        <v>619</v>
      </c>
      <c r="B620">
        <v>24</v>
      </c>
      <c r="C620" t="s">
        <v>12</v>
      </c>
      <c r="D620" t="s">
        <v>19</v>
      </c>
      <c r="E620" t="s">
        <v>37</v>
      </c>
      <c r="F620">
        <v>4.2</v>
      </c>
      <c r="G620" t="s">
        <v>21</v>
      </c>
      <c r="H620" t="s">
        <v>22</v>
      </c>
      <c r="I620">
        <v>7.5</v>
      </c>
      <c r="J620">
        <v>8</v>
      </c>
      <c r="K620" t="s">
        <v>23</v>
      </c>
      <c r="L620">
        <v>4</v>
      </c>
      <c r="M620" t="str">
        <f>IF(Table1[[#This Row],[Age]]&lt;=18,"Teen",IF(Table1[[#This Row],[Age]]&lt;=21,"Young Adult","Adult"))</f>
        <v>Adult</v>
      </c>
      <c r="N620" t="str">
        <f t="shared" si="45"/>
        <v>High</v>
      </c>
      <c r="O620" t="str">
        <f t="shared" si="46"/>
        <v>Medium</v>
      </c>
      <c r="P620" t="str">
        <f t="shared" si="47"/>
        <v>Healthy</v>
      </c>
      <c r="Q620">
        <f t="shared" si="48"/>
        <v>0</v>
      </c>
      <c r="R620" t="str">
        <f t="shared" si="49"/>
        <v>Good</v>
      </c>
      <c r="S620">
        <f>COUNTIF('Students Social Media Addiction'!O:O,"High")/COUNTA(Table1[Student_ID])</f>
        <v>0.5787234042553191</v>
      </c>
      <c r="T620">
        <f>AVERAGE(Table1[Academic Impact Flag])</f>
        <v>0.64255319148936174</v>
      </c>
      <c r="U620">
        <f>AVERAGE(Table1[Sleep_Hours_Per_Night])</f>
        <v>6.868936170212768</v>
      </c>
      <c r="V620">
        <f>AVERAGE(Table1[Mental_Health_Score])</f>
        <v>6.2269503546099294</v>
      </c>
    </row>
    <row r="621" spans="1:22" x14ac:dyDescent="0.3">
      <c r="A621">
        <v>620</v>
      </c>
      <c r="B621">
        <v>21</v>
      </c>
      <c r="C621" t="s">
        <v>18</v>
      </c>
      <c r="D621" t="s">
        <v>13</v>
      </c>
      <c r="E621" t="s">
        <v>89</v>
      </c>
      <c r="F621">
        <v>6.3</v>
      </c>
      <c r="G621" t="s">
        <v>25</v>
      </c>
      <c r="H621" t="s">
        <v>16</v>
      </c>
      <c r="I621">
        <v>6.3</v>
      </c>
      <c r="J621">
        <v>5</v>
      </c>
      <c r="K621" t="s">
        <v>23</v>
      </c>
      <c r="L621">
        <v>8</v>
      </c>
      <c r="M621" t="str">
        <f>IF(Table1[[#This Row],[Age]]&lt;=18,"Teen",IF(Table1[[#This Row],[Age]]&lt;=21,"Young Adult","Adult"))</f>
        <v>Young Adult</v>
      </c>
      <c r="N621" t="str">
        <f t="shared" si="45"/>
        <v>Very High</v>
      </c>
      <c r="O621" t="str">
        <f t="shared" si="46"/>
        <v>High</v>
      </c>
      <c r="P621" t="str">
        <f t="shared" si="47"/>
        <v>Average</v>
      </c>
      <c r="Q621">
        <f t="shared" si="48"/>
        <v>1</v>
      </c>
      <c r="R621" t="str">
        <f t="shared" si="49"/>
        <v>Average</v>
      </c>
      <c r="S621">
        <f>COUNTIF('Students Social Media Addiction'!O:O,"High")/COUNTA(Table1[Student_ID])</f>
        <v>0.5787234042553191</v>
      </c>
      <c r="T621">
        <f>AVERAGE(Table1[Academic Impact Flag])</f>
        <v>0.64255319148936174</v>
      </c>
      <c r="U621">
        <f>AVERAGE(Table1[Sleep_Hours_Per_Night])</f>
        <v>6.868936170212768</v>
      </c>
      <c r="V621">
        <f>AVERAGE(Table1[Mental_Health_Score])</f>
        <v>6.2269503546099294</v>
      </c>
    </row>
    <row r="622" spans="1:22" x14ac:dyDescent="0.3">
      <c r="A622">
        <v>621</v>
      </c>
      <c r="B622">
        <v>23</v>
      </c>
      <c r="C622" t="s">
        <v>12</v>
      </c>
      <c r="D622" t="s">
        <v>19</v>
      </c>
      <c r="E622" t="s">
        <v>88</v>
      </c>
      <c r="F622">
        <v>4.4000000000000004</v>
      </c>
      <c r="G622" t="s">
        <v>15</v>
      </c>
      <c r="H622" t="s">
        <v>22</v>
      </c>
      <c r="I622">
        <v>7.4</v>
      </c>
      <c r="J622">
        <v>7</v>
      </c>
      <c r="K622" t="s">
        <v>17</v>
      </c>
      <c r="L622">
        <v>5</v>
      </c>
      <c r="M622" t="str">
        <f>IF(Table1[[#This Row],[Age]]&lt;=18,"Teen",IF(Table1[[#This Row],[Age]]&lt;=21,"Young Adult","Adult"))</f>
        <v>Adult</v>
      </c>
      <c r="N622" t="str">
        <f t="shared" si="45"/>
        <v>High</v>
      </c>
      <c r="O622" t="str">
        <f t="shared" si="46"/>
        <v>Medium</v>
      </c>
      <c r="P622" t="str">
        <f t="shared" si="47"/>
        <v>Healthy</v>
      </c>
      <c r="Q622">
        <f t="shared" si="48"/>
        <v>0</v>
      </c>
      <c r="R622" t="str">
        <f t="shared" si="49"/>
        <v>Good</v>
      </c>
      <c r="S622">
        <f>COUNTIF('Students Social Media Addiction'!O:O,"High")/COUNTA(Table1[Student_ID])</f>
        <v>0.5787234042553191</v>
      </c>
      <c r="T622">
        <f>AVERAGE(Table1[Academic Impact Flag])</f>
        <v>0.64255319148936174</v>
      </c>
      <c r="U622">
        <f>AVERAGE(Table1[Sleep_Hours_Per_Night])</f>
        <v>6.868936170212768</v>
      </c>
      <c r="V622">
        <f>AVERAGE(Table1[Mental_Health_Score])</f>
        <v>6.2269503546099294</v>
      </c>
    </row>
    <row r="623" spans="1:22" x14ac:dyDescent="0.3">
      <c r="A623">
        <v>622</v>
      </c>
      <c r="B623">
        <v>20</v>
      </c>
      <c r="C623" t="s">
        <v>18</v>
      </c>
      <c r="D623" t="s">
        <v>13</v>
      </c>
      <c r="E623" t="s">
        <v>40</v>
      </c>
      <c r="F623">
        <v>6.5</v>
      </c>
      <c r="G623" t="s">
        <v>31</v>
      </c>
      <c r="H623" t="s">
        <v>16</v>
      </c>
      <c r="I623">
        <v>6.2</v>
      </c>
      <c r="J623">
        <v>5</v>
      </c>
      <c r="K623" t="s">
        <v>23</v>
      </c>
      <c r="L623">
        <v>8</v>
      </c>
      <c r="M623" t="str">
        <f>IF(Table1[[#This Row],[Age]]&lt;=18,"Teen",IF(Table1[[#This Row],[Age]]&lt;=21,"Young Adult","Adult"))</f>
        <v>Young Adult</v>
      </c>
      <c r="N623" t="str">
        <f t="shared" si="45"/>
        <v>Very High</v>
      </c>
      <c r="O623" t="str">
        <f t="shared" si="46"/>
        <v>High</v>
      </c>
      <c r="P623" t="str">
        <f t="shared" si="47"/>
        <v>Average</v>
      </c>
      <c r="Q623">
        <f t="shared" si="48"/>
        <v>1</v>
      </c>
      <c r="R623" t="str">
        <f t="shared" si="49"/>
        <v>Average</v>
      </c>
      <c r="S623">
        <f>COUNTIF('Students Social Media Addiction'!O:O,"High")/COUNTA(Table1[Student_ID])</f>
        <v>0.5787234042553191</v>
      </c>
      <c r="T623">
        <f>AVERAGE(Table1[Academic Impact Flag])</f>
        <v>0.64255319148936174</v>
      </c>
      <c r="U623">
        <f>AVERAGE(Table1[Sleep_Hours_Per_Night])</f>
        <v>6.868936170212768</v>
      </c>
      <c r="V623">
        <f>AVERAGE(Table1[Mental_Health_Score])</f>
        <v>6.2269503546099294</v>
      </c>
    </row>
    <row r="624" spans="1:22" x14ac:dyDescent="0.3">
      <c r="A624">
        <v>623</v>
      </c>
      <c r="B624">
        <v>22</v>
      </c>
      <c r="C624" t="s">
        <v>12</v>
      </c>
      <c r="D624" t="s">
        <v>19</v>
      </c>
      <c r="E624" t="s">
        <v>47</v>
      </c>
      <c r="F624">
        <v>4.5999999999999996</v>
      </c>
      <c r="G624" t="s">
        <v>21</v>
      </c>
      <c r="H624" t="s">
        <v>22</v>
      </c>
      <c r="I624">
        <v>7.3</v>
      </c>
      <c r="J624">
        <v>7</v>
      </c>
      <c r="K624" t="s">
        <v>17</v>
      </c>
      <c r="L624">
        <v>5</v>
      </c>
      <c r="M624" t="str">
        <f>IF(Table1[[#This Row],[Age]]&lt;=18,"Teen",IF(Table1[[#This Row],[Age]]&lt;=21,"Young Adult","Adult"))</f>
        <v>Adult</v>
      </c>
      <c r="N624" t="str">
        <f t="shared" si="45"/>
        <v>High</v>
      </c>
      <c r="O624" t="str">
        <f t="shared" si="46"/>
        <v>Medium</v>
      </c>
      <c r="P624" t="str">
        <f t="shared" si="47"/>
        <v>Healthy</v>
      </c>
      <c r="Q624">
        <f t="shared" si="48"/>
        <v>0</v>
      </c>
      <c r="R624" t="str">
        <f t="shared" si="49"/>
        <v>Good</v>
      </c>
      <c r="S624">
        <f>COUNTIF('Students Social Media Addiction'!O:O,"High")/COUNTA(Table1[Student_ID])</f>
        <v>0.5787234042553191</v>
      </c>
      <c r="T624">
        <f>AVERAGE(Table1[Academic Impact Flag])</f>
        <v>0.64255319148936174</v>
      </c>
      <c r="U624">
        <f>AVERAGE(Table1[Sleep_Hours_Per_Night])</f>
        <v>6.868936170212768</v>
      </c>
      <c r="V624">
        <f>AVERAGE(Table1[Mental_Health_Score])</f>
        <v>6.2269503546099294</v>
      </c>
    </row>
    <row r="625" spans="1:22" x14ac:dyDescent="0.3">
      <c r="A625">
        <v>624</v>
      </c>
      <c r="B625">
        <v>19</v>
      </c>
      <c r="C625" t="s">
        <v>18</v>
      </c>
      <c r="D625" t="s">
        <v>13</v>
      </c>
      <c r="E625" t="s">
        <v>54</v>
      </c>
      <c r="F625">
        <v>5.8</v>
      </c>
      <c r="G625" t="s">
        <v>15</v>
      </c>
      <c r="H625" t="s">
        <v>16</v>
      </c>
      <c r="I625">
        <v>6.6</v>
      </c>
      <c r="J625">
        <v>6</v>
      </c>
      <c r="K625" t="s">
        <v>23</v>
      </c>
      <c r="L625">
        <v>7</v>
      </c>
      <c r="M625" t="str">
        <f>IF(Table1[[#This Row],[Age]]&lt;=18,"Teen",IF(Table1[[#This Row],[Age]]&lt;=21,"Young Adult","Adult"))</f>
        <v>Young Adult</v>
      </c>
      <c r="N625" t="str">
        <f t="shared" si="45"/>
        <v>High</v>
      </c>
      <c r="O625" t="str">
        <f t="shared" si="46"/>
        <v>High</v>
      </c>
      <c r="P625" t="str">
        <f t="shared" si="47"/>
        <v>Average</v>
      </c>
      <c r="Q625">
        <f t="shared" si="48"/>
        <v>1</v>
      </c>
      <c r="R625" t="str">
        <f t="shared" si="49"/>
        <v>Average</v>
      </c>
      <c r="S625">
        <f>COUNTIF('Students Social Media Addiction'!O:O,"High")/COUNTA(Table1[Student_ID])</f>
        <v>0.5787234042553191</v>
      </c>
      <c r="T625">
        <f>AVERAGE(Table1[Academic Impact Flag])</f>
        <v>0.64255319148936174</v>
      </c>
      <c r="U625">
        <f>AVERAGE(Table1[Sleep_Hours_Per_Night])</f>
        <v>6.868936170212768</v>
      </c>
      <c r="V625">
        <f>AVERAGE(Table1[Mental_Health_Score])</f>
        <v>6.2269503546099294</v>
      </c>
    </row>
    <row r="626" spans="1:22" x14ac:dyDescent="0.3">
      <c r="A626">
        <v>625</v>
      </c>
      <c r="B626">
        <v>24</v>
      </c>
      <c r="C626" t="s">
        <v>12</v>
      </c>
      <c r="D626" t="s">
        <v>19</v>
      </c>
      <c r="E626" t="s">
        <v>20</v>
      </c>
      <c r="F626">
        <v>7</v>
      </c>
      <c r="G626" t="s">
        <v>25</v>
      </c>
      <c r="H626" t="s">
        <v>16</v>
      </c>
      <c r="I626">
        <v>5.8</v>
      </c>
      <c r="J626">
        <v>4</v>
      </c>
      <c r="K626" t="s">
        <v>23</v>
      </c>
      <c r="L626">
        <v>9</v>
      </c>
      <c r="M626" t="str">
        <f>IF(Table1[[#This Row],[Age]]&lt;=18,"Teen",IF(Table1[[#This Row],[Age]]&lt;=21,"Young Adult","Adult"))</f>
        <v>Adult</v>
      </c>
      <c r="N626" t="str">
        <f t="shared" si="45"/>
        <v>Very High</v>
      </c>
      <c r="O626" t="str">
        <f t="shared" si="46"/>
        <v>High</v>
      </c>
      <c r="P626" t="str">
        <f t="shared" si="47"/>
        <v>Poor</v>
      </c>
      <c r="Q626">
        <f t="shared" si="48"/>
        <v>1</v>
      </c>
      <c r="R626" t="str">
        <f t="shared" si="49"/>
        <v>Poor</v>
      </c>
      <c r="S626">
        <f>COUNTIF('Students Social Media Addiction'!O:O,"High")/COUNTA(Table1[Student_ID])</f>
        <v>0.5787234042553191</v>
      </c>
      <c r="T626">
        <f>AVERAGE(Table1[Academic Impact Flag])</f>
        <v>0.64255319148936174</v>
      </c>
      <c r="U626">
        <f>AVERAGE(Table1[Sleep_Hours_Per_Night])</f>
        <v>6.868936170212768</v>
      </c>
      <c r="V626">
        <f>AVERAGE(Table1[Mental_Health_Score])</f>
        <v>6.2269503546099294</v>
      </c>
    </row>
    <row r="627" spans="1:22" x14ac:dyDescent="0.3">
      <c r="A627">
        <v>626</v>
      </c>
      <c r="B627">
        <v>21</v>
      </c>
      <c r="C627" t="s">
        <v>18</v>
      </c>
      <c r="D627" t="s">
        <v>13</v>
      </c>
      <c r="E627" t="s">
        <v>50</v>
      </c>
      <c r="F627">
        <v>4.5</v>
      </c>
      <c r="G627" t="s">
        <v>31</v>
      </c>
      <c r="H627" t="s">
        <v>22</v>
      </c>
      <c r="I627">
        <v>7.3</v>
      </c>
      <c r="J627">
        <v>7</v>
      </c>
      <c r="K627" t="s">
        <v>17</v>
      </c>
      <c r="L627">
        <v>5</v>
      </c>
      <c r="M627" t="str">
        <f>IF(Table1[[#This Row],[Age]]&lt;=18,"Teen",IF(Table1[[#This Row],[Age]]&lt;=21,"Young Adult","Adult"))</f>
        <v>Young Adult</v>
      </c>
      <c r="N627" t="str">
        <f t="shared" si="45"/>
        <v>High</v>
      </c>
      <c r="O627" t="str">
        <f t="shared" si="46"/>
        <v>Medium</v>
      </c>
      <c r="P627" t="str">
        <f t="shared" si="47"/>
        <v>Healthy</v>
      </c>
      <c r="Q627">
        <f t="shared" si="48"/>
        <v>0</v>
      </c>
      <c r="R627" t="str">
        <f t="shared" si="49"/>
        <v>Good</v>
      </c>
      <c r="S627">
        <f>COUNTIF('Students Social Media Addiction'!O:O,"High")/COUNTA(Table1[Student_ID])</f>
        <v>0.5787234042553191</v>
      </c>
      <c r="T627">
        <f>AVERAGE(Table1[Academic Impact Flag])</f>
        <v>0.64255319148936174</v>
      </c>
      <c r="U627">
        <f>AVERAGE(Table1[Sleep_Hours_Per_Night])</f>
        <v>6.868936170212768</v>
      </c>
      <c r="V627">
        <f>AVERAGE(Table1[Mental_Health_Score])</f>
        <v>6.2269503546099294</v>
      </c>
    </row>
    <row r="628" spans="1:22" x14ac:dyDescent="0.3">
      <c r="A628">
        <v>627</v>
      </c>
      <c r="B628">
        <v>23</v>
      </c>
      <c r="C628" t="s">
        <v>12</v>
      </c>
      <c r="D628" t="s">
        <v>19</v>
      </c>
      <c r="E628" t="s">
        <v>64</v>
      </c>
      <c r="F628">
        <v>6.7</v>
      </c>
      <c r="G628" t="s">
        <v>15</v>
      </c>
      <c r="H628" t="s">
        <v>16</v>
      </c>
      <c r="I628">
        <v>6.1</v>
      </c>
      <c r="J628">
        <v>5</v>
      </c>
      <c r="K628" t="s">
        <v>23</v>
      </c>
      <c r="L628">
        <v>8</v>
      </c>
      <c r="M628" t="str">
        <f>IF(Table1[[#This Row],[Age]]&lt;=18,"Teen",IF(Table1[[#This Row],[Age]]&lt;=21,"Young Adult","Adult"))</f>
        <v>Adult</v>
      </c>
      <c r="N628" t="str">
        <f t="shared" si="45"/>
        <v>Very High</v>
      </c>
      <c r="O628" t="str">
        <f t="shared" si="46"/>
        <v>High</v>
      </c>
      <c r="P628" t="str">
        <f t="shared" si="47"/>
        <v>Average</v>
      </c>
      <c r="Q628">
        <f t="shared" si="48"/>
        <v>1</v>
      </c>
      <c r="R628" t="str">
        <f t="shared" si="49"/>
        <v>Average</v>
      </c>
      <c r="S628">
        <f>COUNTIF('Students Social Media Addiction'!O:O,"High")/COUNTA(Table1[Student_ID])</f>
        <v>0.5787234042553191</v>
      </c>
      <c r="T628">
        <f>AVERAGE(Table1[Academic Impact Flag])</f>
        <v>0.64255319148936174</v>
      </c>
      <c r="U628">
        <f>AVERAGE(Table1[Sleep_Hours_Per_Night])</f>
        <v>6.868936170212768</v>
      </c>
      <c r="V628">
        <f>AVERAGE(Table1[Mental_Health_Score])</f>
        <v>6.2269503546099294</v>
      </c>
    </row>
    <row r="629" spans="1:22" x14ac:dyDescent="0.3">
      <c r="A629">
        <v>628</v>
      </c>
      <c r="B629">
        <v>20</v>
      </c>
      <c r="C629" t="s">
        <v>18</v>
      </c>
      <c r="D629" t="s">
        <v>13</v>
      </c>
      <c r="E629" t="s">
        <v>24</v>
      </c>
      <c r="F629">
        <v>5.5</v>
      </c>
      <c r="G629" t="s">
        <v>21</v>
      </c>
      <c r="H629" t="s">
        <v>16</v>
      </c>
      <c r="I629">
        <v>6.8</v>
      </c>
      <c r="J629">
        <v>6</v>
      </c>
      <c r="K629" t="s">
        <v>17</v>
      </c>
      <c r="L629">
        <v>7</v>
      </c>
      <c r="M629" t="str">
        <f>IF(Table1[[#This Row],[Age]]&lt;=18,"Teen",IF(Table1[[#This Row],[Age]]&lt;=21,"Young Adult","Adult"))</f>
        <v>Young Adult</v>
      </c>
      <c r="N629" t="str">
        <f t="shared" si="45"/>
        <v>High</v>
      </c>
      <c r="O629" t="str">
        <f t="shared" si="46"/>
        <v>High</v>
      </c>
      <c r="P629" t="str">
        <f t="shared" si="47"/>
        <v>Average</v>
      </c>
      <c r="Q629">
        <f t="shared" si="48"/>
        <v>1</v>
      </c>
      <c r="R629" t="str">
        <f t="shared" si="49"/>
        <v>Average</v>
      </c>
      <c r="S629">
        <f>COUNTIF('Students Social Media Addiction'!O:O,"High")/COUNTA(Table1[Student_ID])</f>
        <v>0.5787234042553191</v>
      </c>
      <c r="T629">
        <f>AVERAGE(Table1[Academic Impact Flag])</f>
        <v>0.64255319148936174</v>
      </c>
      <c r="U629">
        <f>AVERAGE(Table1[Sleep_Hours_Per_Night])</f>
        <v>6.868936170212768</v>
      </c>
      <c r="V629">
        <f>AVERAGE(Table1[Mental_Health_Score])</f>
        <v>6.2269503546099294</v>
      </c>
    </row>
    <row r="630" spans="1:22" x14ac:dyDescent="0.3">
      <c r="A630">
        <v>629</v>
      </c>
      <c r="B630">
        <v>22</v>
      </c>
      <c r="C630" t="s">
        <v>12</v>
      </c>
      <c r="D630" t="s">
        <v>19</v>
      </c>
      <c r="E630" t="s">
        <v>42</v>
      </c>
      <c r="F630">
        <v>6.4</v>
      </c>
      <c r="G630" t="s">
        <v>31</v>
      </c>
      <c r="H630" t="s">
        <v>16</v>
      </c>
      <c r="I630">
        <v>6.2</v>
      </c>
      <c r="J630">
        <v>5</v>
      </c>
      <c r="K630" t="s">
        <v>23</v>
      </c>
      <c r="L630">
        <v>8</v>
      </c>
      <c r="M630" t="str">
        <f>IF(Table1[[#This Row],[Age]]&lt;=18,"Teen",IF(Table1[[#This Row],[Age]]&lt;=21,"Young Adult","Adult"))</f>
        <v>Adult</v>
      </c>
      <c r="N630" t="str">
        <f t="shared" si="45"/>
        <v>Very High</v>
      </c>
      <c r="O630" t="str">
        <f t="shared" si="46"/>
        <v>High</v>
      </c>
      <c r="P630" t="str">
        <f t="shared" si="47"/>
        <v>Average</v>
      </c>
      <c r="Q630">
        <f t="shared" si="48"/>
        <v>1</v>
      </c>
      <c r="R630" t="str">
        <f t="shared" si="49"/>
        <v>Average</v>
      </c>
      <c r="S630">
        <f>COUNTIF('Students Social Media Addiction'!O:O,"High")/COUNTA(Table1[Student_ID])</f>
        <v>0.5787234042553191</v>
      </c>
      <c r="T630">
        <f>AVERAGE(Table1[Academic Impact Flag])</f>
        <v>0.64255319148936174</v>
      </c>
      <c r="U630">
        <f>AVERAGE(Table1[Sleep_Hours_Per_Night])</f>
        <v>6.868936170212768</v>
      </c>
      <c r="V630">
        <f>AVERAGE(Table1[Mental_Health_Score])</f>
        <v>6.2269503546099294</v>
      </c>
    </row>
    <row r="631" spans="1:22" x14ac:dyDescent="0.3">
      <c r="A631">
        <v>630</v>
      </c>
      <c r="B631">
        <v>19</v>
      </c>
      <c r="C631" t="s">
        <v>18</v>
      </c>
      <c r="D631" t="s">
        <v>13</v>
      </c>
      <c r="E631" t="s">
        <v>39</v>
      </c>
      <c r="F631">
        <v>4.7</v>
      </c>
      <c r="G631" t="s">
        <v>15</v>
      </c>
      <c r="H631" t="s">
        <v>22</v>
      </c>
      <c r="I631">
        <v>7.2</v>
      </c>
      <c r="J631">
        <v>7</v>
      </c>
      <c r="K631" t="s">
        <v>17</v>
      </c>
      <c r="L631">
        <v>5</v>
      </c>
      <c r="M631" t="str">
        <f>IF(Table1[[#This Row],[Age]]&lt;=18,"Teen",IF(Table1[[#This Row],[Age]]&lt;=21,"Young Adult","Adult"))</f>
        <v>Young Adult</v>
      </c>
      <c r="N631" t="str">
        <f t="shared" si="45"/>
        <v>High</v>
      </c>
      <c r="O631" t="str">
        <f t="shared" si="46"/>
        <v>Medium</v>
      </c>
      <c r="P631" t="str">
        <f t="shared" si="47"/>
        <v>Healthy</v>
      </c>
      <c r="Q631">
        <f t="shared" si="48"/>
        <v>0</v>
      </c>
      <c r="R631" t="str">
        <f t="shared" si="49"/>
        <v>Good</v>
      </c>
      <c r="S631">
        <f>COUNTIF('Students Social Media Addiction'!O:O,"High")/COUNTA(Table1[Student_ID])</f>
        <v>0.5787234042553191</v>
      </c>
      <c r="T631">
        <f>AVERAGE(Table1[Academic Impact Flag])</f>
        <v>0.64255319148936174</v>
      </c>
      <c r="U631">
        <f>AVERAGE(Table1[Sleep_Hours_Per_Night])</f>
        <v>6.868936170212768</v>
      </c>
      <c r="V631">
        <f>AVERAGE(Table1[Mental_Health_Score])</f>
        <v>6.2269503546099294</v>
      </c>
    </row>
    <row r="632" spans="1:22" x14ac:dyDescent="0.3">
      <c r="A632">
        <v>631</v>
      </c>
      <c r="B632">
        <v>24</v>
      </c>
      <c r="C632" t="s">
        <v>12</v>
      </c>
      <c r="D632" t="s">
        <v>19</v>
      </c>
      <c r="E632" t="s">
        <v>30</v>
      </c>
      <c r="F632">
        <v>5.6</v>
      </c>
      <c r="G632" t="s">
        <v>25</v>
      </c>
      <c r="H632" t="s">
        <v>16</v>
      </c>
      <c r="I632">
        <v>6.7</v>
      </c>
      <c r="J632">
        <v>6</v>
      </c>
      <c r="K632" t="s">
        <v>23</v>
      </c>
      <c r="L632">
        <v>7</v>
      </c>
      <c r="M632" t="str">
        <f>IF(Table1[[#This Row],[Age]]&lt;=18,"Teen",IF(Table1[[#This Row],[Age]]&lt;=21,"Young Adult","Adult"))</f>
        <v>Adult</v>
      </c>
      <c r="N632" t="str">
        <f t="shared" si="45"/>
        <v>High</v>
      </c>
      <c r="O632" t="str">
        <f t="shared" si="46"/>
        <v>High</v>
      </c>
      <c r="P632" t="str">
        <f t="shared" si="47"/>
        <v>Average</v>
      </c>
      <c r="Q632">
        <f t="shared" si="48"/>
        <v>1</v>
      </c>
      <c r="R632" t="str">
        <f t="shared" si="49"/>
        <v>Average</v>
      </c>
      <c r="S632">
        <f>COUNTIF('Students Social Media Addiction'!O:O,"High")/COUNTA(Table1[Student_ID])</f>
        <v>0.5787234042553191</v>
      </c>
      <c r="T632">
        <f>AVERAGE(Table1[Academic Impact Flag])</f>
        <v>0.64255319148936174</v>
      </c>
      <c r="U632">
        <f>AVERAGE(Table1[Sleep_Hours_Per_Night])</f>
        <v>6.868936170212768</v>
      </c>
      <c r="V632">
        <f>AVERAGE(Table1[Mental_Health_Score])</f>
        <v>6.2269503546099294</v>
      </c>
    </row>
    <row r="633" spans="1:22" x14ac:dyDescent="0.3">
      <c r="A633">
        <v>632</v>
      </c>
      <c r="B633">
        <v>21</v>
      </c>
      <c r="C633" t="s">
        <v>18</v>
      </c>
      <c r="D633" t="s">
        <v>13</v>
      </c>
      <c r="E633" t="s">
        <v>28</v>
      </c>
      <c r="F633">
        <v>6.2</v>
      </c>
      <c r="G633" t="s">
        <v>31</v>
      </c>
      <c r="H633" t="s">
        <v>16</v>
      </c>
      <c r="I633">
        <v>6.3</v>
      </c>
      <c r="J633">
        <v>5</v>
      </c>
      <c r="K633" t="s">
        <v>23</v>
      </c>
      <c r="L633">
        <v>8</v>
      </c>
      <c r="M633" t="str">
        <f>IF(Table1[[#This Row],[Age]]&lt;=18,"Teen",IF(Table1[[#This Row],[Age]]&lt;=21,"Young Adult","Adult"))</f>
        <v>Young Adult</v>
      </c>
      <c r="N633" t="str">
        <f t="shared" si="45"/>
        <v>Very High</v>
      </c>
      <c r="O633" t="str">
        <f t="shared" si="46"/>
        <v>High</v>
      </c>
      <c r="P633" t="str">
        <f t="shared" si="47"/>
        <v>Average</v>
      </c>
      <c r="Q633">
        <f t="shared" si="48"/>
        <v>1</v>
      </c>
      <c r="R633" t="str">
        <f t="shared" si="49"/>
        <v>Average</v>
      </c>
      <c r="S633">
        <f>COUNTIF('Students Social Media Addiction'!O:O,"High")/COUNTA(Table1[Student_ID])</f>
        <v>0.5787234042553191</v>
      </c>
      <c r="T633">
        <f>AVERAGE(Table1[Academic Impact Flag])</f>
        <v>0.64255319148936174</v>
      </c>
      <c r="U633">
        <f>AVERAGE(Table1[Sleep_Hours_Per_Night])</f>
        <v>6.868936170212768</v>
      </c>
      <c r="V633">
        <f>AVERAGE(Table1[Mental_Health_Score])</f>
        <v>6.2269503546099294</v>
      </c>
    </row>
    <row r="634" spans="1:22" x14ac:dyDescent="0.3">
      <c r="A634">
        <v>633</v>
      </c>
      <c r="B634">
        <v>23</v>
      </c>
      <c r="C634" t="s">
        <v>12</v>
      </c>
      <c r="D634" t="s">
        <v>19</v>
      </c>
      <c r="E634" t="s">
        <v>41</v>
      </c>
      <c r="F634">
        <v>4.8</v>
      </c>
      <c r="G634" t="s">
        <v>21</v>
      </c>
      <c r="H634" t="s">
        <v>22</v>
      </c>
      <c r="I634">
        <v>7.1</v>
      </c>
      <c r="J634">
        <v>7</v>
      </c>
      <c r="K634" t="s">
        <v>17</v>
      </c>
      <c r="L634">
        <v>5</v>
      </c>
      <c r="M634" t="str">
        <f>IF(Table1[[#This Row],[Age]]&lt;=18,"Teen",IF(Table1[[#This Row],[Age]]&lt;=21,"Young Adult","Adult"))</f>
        <v>Adult</v>
      </c>
      <c r="N634" t="str">
        <f t="shared" si="45"/>
        <v>High</v>
      </c>
      <c r="O634" t="str">
        <f t="shared" si="46"/>
        <v>Medium</v>
      </c>
      <c r="P634" t="str">
        <f t="shared" si="47"/>
        <v>Healthy</v>
      </c>
      <c r="Q634">
        <f t="shared" si="48"/>
        <v>0</v>
      </c>
      <c r="R634" t="str">
        <f t="shared" si="49"/>
        <v>Good</v>
      </c>
      <c r="S634">
        <f>COUNTIF('Students Social Media Addiction'!O:O,"High")/COUNTA(Table1[Student_ID])</f>
        <v>0.5787234042553191</v>
      </c>
      <c r="T634">
        <f>AVERAGE(Table1[Academic Impact Flag])</f>
        <v>0.64255319148936174</v>
      </c>
      <c r="U634">
        <f>AVERAGE(Table1[Sleep_Hours_Per_Night])</f>
        <v>6.868936170212768</v>
      </c>
      <c r="V634">
        <f>AVERAGE(Table1[Mental_Health_Score])</f>
        <v>6.2269503546099294</v>
      </c>
    </row>
    <row r="635" spans="1:22" x14ac:dyDescent="0.3">
      <c r="A635">
        <v>634</v>
      </c>
      <c r="B635">
        <v>20</v>
      </c>
      <c r="C635" t="s">
        <v>18</v>
      </c>
      <c r="D635" t="s">
        <v>13</v>
      </c>
      <c r="E635" t="s">
        <v>43</v>
      </c>
      <c r="F635">
        <v>6.9</v>
      </c>
      <c r="G635" t="s">
        <v>15</v>
      </c>
      <c r="H635" t="s">
        <v>16</v>
      </c>
      <c r="I635">
        <v>5.9</v>
      </c>
      <c r="J635">
        <v>4</v>
      </c>
      <c r="K635" t="s">
        <v>23</v>
      </c>
      <c r="L635">
        <v>9</v>
      </c>
      <c r="M635" t="str">
        <f>IF(Table1[[#This Row],[Age]]&lt;=18,"Teen",IF(Table1[[#This Row],[Age]]&lt;=21,"Young Adult","Adult"))</f>
        <v>Young Adult</v>
      </c>
      <c r="N635" t="str">
        <f t="shared" si="45"/>
        <v>Very High</v>
      </c>
      <c r="O635" t="str">
        <f t="shared" si="46"/>
        <v>High</v>
      </c>
      <c r="P635" t="str">
        <f t="shared" si="47"/>
        <v>Poor</v>
      </c>
      <c r="Q635">
        <f t="shared" si="48"/>
        <v>1</v>
      </c>
      <c r="R635" t="str">
        <f t="shared" si="49"/>
        <v>Poor</v>
      </c>
      <c r="S635">
        <f>COUNTIF('Students Social Media Addiction'!O:O,"High")/COUNTA(Table1[Student_ID])</f>
        <v>0.5787234042553191</v>
      </c>
      <c r="T635">
        <f>AVERAGE(Table1[Academic Impact Flag])</f>
        <v>0.64255319148936174</v>
      </c>
      <c r="U635">
        <f>AVERAGE(Table1[Sleep_Hours_Per_Night])</f>
        <v>6.868936170212768</v>
      </c>
      <c r="V635">
        <f>AVERAGE(Table1[Mental_Health_Score])</f>
        <v>6.2269503546099294</v>
      </c>
    </row>
    <row r="636" spans="1:22" x14ac:dyDescent="0.3">
      <c r="A636">
        <v>635</v>
      </c>
      <c r="B636">
        <v>22</v>
      </c>
      <c r="C636" t="s">
        <v>12</v>
      </c>
      <c r="D636" t="s">
        <v>19</v>
      </c>
      <c r="E636" t="s">
        <v>44</v>
      </c>
      <c r="F636">
        <v>5.7</v>
      </c>
      <c r="G636" t="s">
        <v>143</v>
      </c>
      <c r="H636" t="s">
        <v>16</v>
      </c>
      <c r="I636">
        <v>6.7</v>
      </c>
      <c r="J636">
        <v>6</v>
      </c>
      <c r="K636" t="s">
        <v>17</v>
      </c>
      <c r="L636">
        <v>7</v>
      </c>
      <c r="M636" t="str">
        <f>IF(Table1[[#This Row],[Age]]&lt;=18,"Teen",IF(Table1[[#This Row],[Age]]&lt;=21,"Young Adult","Adult"))</f>
        <v>Adult</v>
      </c>
      <c r="N636" t="str">
        <f t="shared" si="45"/>
        <v>High</v>
      </c>
      <c r="O636" t="str">
        <f t="shared" si="46"/>
        <v>High</v>
      </c>
      <c r="P636" t="str">
        <f t="shared" si="47"/>
        <v>Average</v>
      </c>
      <c r="Q636">
        <f t="shared" si="48"/>
        <v>1</v>
      </c>
      <c r="R636" t="str">
        <f t="shared" si="49"/>
        <v>Average</v>
      </c>
      <c r="S636">
        <f>COUNTIF('Students Social Media Addiction'!O:O,"High")/COUNTA(Table1[Student_ID])</f>
        <v>0.5787234042553191</v>
      </c>
      <c r="T636">
        <f>AVERAGE(Table1[Academic Impact Flag])</f>
        <v>0.64255319148936174</v>
      </c>
      <c r="U636">
        <f>AVERAGE(Table1[Sleep_Hours_Per_Night])</f>
        <v>6.868936170212768</v>
      </c>
      <c r="V636">
        <f>AVERAGE(Table1[Mental_Health_Score])</f>
        <v>6.2269503546099294</v>
      </c>
    </row>
    <row r="637" spans="1:22" x14ac:dyDescent="0.3">
      <c r="A637">
        <v>636</v>
      </c>
      <c r="B637">
        <v>19</v>
      </c>
      <c r="C637" t="s">
        <v>18</v>
      </c>
      <c r="D637" t="s">
        <v>13</v>
      </c>
      <c r="E637" t="s">
        <v>37</v>
      </c>
      <c r="F637">
        <v>4.4000000000000004</v>
      </c>
      <c r="G637" t="s">
        <v>21</v>
      </c>
      <c r="H637" t="s">
        <v>22</v>
      </c>
      <c r="I637">
        <v>7.4</v>
      </c>
      <c r="J637">
        <v>8</v>
      </c>
      <c r="K637" t="s">
        <v>23</v>
      </c>
      <c r="L637">
        <v>4</v>
      </c>
      <c r="M637" t="str">
        <f>IF(Table1[[#This Row],[Age]]&lt;=18,"Teen",IF(Table1[[#This Row],[Age]]&lt;=21,"Young Adult","Adult"))</f>
        <v>Young Adult</v>
      </c>
      <c r="N637" t="str">
        <f t="shared" si="45"/>
        <v>High</v>
      </c>
      <c r="O637" t="str">
        <f t="shared" si="46"/>
        <v>Medium</v>
      </c>
      <c r="P637" t="str">
        <f t="shared" si="47"/>
        <v>Healthy</v>
      </c>
      <c r="Q637">
        <f t="shared" si="48"/>
        <v>0</v>
      </c>
      <c r="R637" t="str">
        <f t="shared" si="49"/>
        <v>Good</v>
      </c>
      <c r="S637">
        <f>COUNTIF('Students Social Media Addiction'!O:O,"High")/COUNTA(Table1[Student_ID])</f>
        <v>0.5787234042553191</v>
      </c>
      <c r="T637">
        <f>AVERAGE(Table1[Academic Impact Flag])</f>
        <v>0.64255319148936174</v>
      </c>
      <c r="U637">
        <f>AVERAGE(Table1[Sleep_Hours_Per_Night])</f>
        <v>6.868936170212768</v>
      </c>
      <c r="V637">
        <f>AVERAGE(Table1[Mental_Health_Score])</f>
        <v>6.2269503546099294</v>
      </c>
    </row>
    <row r="638" spans="1:22" x14ac:dyDescent="0.3">
      <c r="A638">
        <v>637</v>
      </c>
      <c r="B638">
        <v>24</v>
      </c>
      <c r="C638" t="s">
        <v>12</v>
      </c>
      <c r="D638" t="s">
        <v>19</v>
      </c>
      <c r="E638" t="s">
        <v>89</v>
      </c>
      <c r="F638">
        <v>6.1</v>
      </c>
      <c r="G638" t="s">
        <v>25</v>
      </c>
      <c r="H638" t="s">
        <v>16</v>
      </c>
      <c r="I638">
        <v>6.4</v>
      </c>
      <c r="J638">
        <v>5</v>
      </c>
      <c r="K638" t="s">
        <v>23</v>
      </c>
      <c r="L638">
        <v>8</v>
      </c>
      <c r="M638" t="str">
        <f>IF(Table1[[#This Row],[Age]]&lt;=18,"Teen",IF(Table1[[#This Row],[Age]]&lt;=21,"Young Adult","Adult"))</f>
        <v>Adult</v>
      </c>
      <c r="N638" t="str">
        <f t="shared" si="45"/>
        <v>Very High</v>
      </c>
      <c r="O638" t="str">
        <f t="shared" si="46"/>
        <v>High</v>
      </c>
      <c r="P638" t="str">
        <f t="shared" si="47"/>
        <v>Average</v>
      </c>
      <c r="Q638">
        <f t="shared" si="48"/>
        <v>1</v>
      </c>
      <c r="R638" t="str">
        <f t="shared" si="49"/>
        <v>Average</v>
      </c>
      <c r="S638">
        <f>COUNTIF('Students Social Media Addiction'!O:O,"High")/COUNTA(Table1[Student_ID])</f>
        <v>0.5787234042553191</v>
      </c>
      <c r="T638">
        <f>AVERAGE(Table1[Academic Impact Flag])</f>
        <v>0.64255319148936174</v>
      </c>
      <c r="U638">
        <f>AVERAGE(Table1[Sleep_Hours_Per_Night])</f>
        <v>6.868936170212768</v>
      </c>
      <c r="V638">
        <f>AVERAGE(Table1[Mental_Health_Score])</f>
        <v>6.2269503546099294</v>
      </c>
    </row>
    <row r="639" spans="1:22" x14ac:dyDescent="0.3">
      <c r="A639">
        <v>638</v>
      </c>
      <c r="B639">
        <v>21</v>
      </c>
      <c r="C639" t="s">
        <v>18</v>
      </c>
      <c r="D639" t="s">
        <v>13</v>
      </c>
      <c r="E639" t="s">
        <v>88</v>
      </c>
      <c r="F639">
        <v>4.3</v>
      </c>
      <c r="G639" t="s">
        <v>15</v>
      </c>
      <c r="H639" t="s">
        <v>22</v>
      </c>
      <c r="I639">
        <v>7.5</v>
      </c>
      <c r="J639">
        <v>7</v>
      </c>
      <c r="K639" t="s">
        <v>17</v>
      </c>
      <c r="L639">
        <v>5</v>
      </c>
      <c r="M639" t="str">
        <f>IF(Table1[[#This Row],[Age]]&lt;=18,"Teen",IF(Table1[[#This Row],[Age]]&lt;=21,"Young Adult","Adult"))</f>
        <v>Young Adult</v>
      </c>
      <c r="N639" t="str">
        <f t="shared" si="45"/>
        <v>High</v>
      </c>
      <c r="O639" t="str">
        <f t="shared" si="46"/>
        <v>Medium</v>
      </c>
      <c r="P639" t="str">
        <f t="shared" si="47"/>
        <v>Healthy</v>
      </c>
      <c r="Q639">
        <f t="shared" si="48"/>
        <v>0</v>
      </c>
      <c r="R639" t="str">
        <f t="shared" si="49"/>
        <v>Good</v>
      </c>
      <c r="S639">
        <f>COUNTIF('Students Social Media Addiction'!O:O,"High")/COUNTA(Table1[Student_ID])</f>
        <v>0.5787234042553191</v>
      </c>
      <c r="T639">
        <f>AVERAGE(Table1[Academic Impact Flag])</f>
        <v>0.64255319148936174</v>
      </c>
      <c r="U639">
        <f>AVERAGE(Table1[Sleep_Hours_Per_Night])</f>
        <v>6.868936170212768</v>
      </c>
      <c r="V639">
        <f>AVERAGE(Table1[Mental_Health_Score])</f>
        <v>6.2269503546099294</v>
      </c>
    </row>
    <row r="640" spans="1:22" x14ac:dyDescent="0.3">
      <c r="A640">
        <v>639</v>
      </c>
      <c r="B640">
        <v>23</v>
      </c>
      <c r="C640" t="s">
        <v>12</v>
      </c>
      <c r="D640" t="s">
        <v>19</v>
      </c>
      <c r="E640" t="s">
        <v>40</v>
      </c>
      <c r="F640">
        <v>6.4</v>
      </c>
      <c r="G640" t="s">
        <v>31</v>
      </c>
      <c r="H640" t="s">
        <v>16</v>
      </c>
      <c r="I640">
        <v>6.2</v>
      </c>
      <c r="J640">
        <v>5</v>
      </c>
      <c r="K640" t="s">
        <v>23</v>
      </c>
      <c r="L640">
        <v>8</v>
      </c>
      <c r="M640" t="str">
        <f>IF(Table1[[#This Row],[Age]]&lt;=18,"Teen",IF(Table1[[#This Row],[Age]]&lt;=21,"Young Adult","Adult"))</f>
        <v>Adult</v>
      </c>
      <c r="N640" t="str">
        <f t="shared" si="45"/>
        <v>Very High</v>
      </c>
      <c r="O640" t="str">
        <f t="shared" si="46"/>
        <v>High</v>
      </c>
      <c r="P640" t="str">
        <f t="shared" si="47"/>
        <v>Average</v>
      </c>
      <c r="Q640">
        <f t="shared" si="48"/>
        <v>1</v>
      </c>
      <c r="R640" t="str">
        <f t="shared" si="49"/>
        <v>Average</v>
      </c>
      <c r="S640">
        <f>COUNTIF('Students Social Media Addiction'!O:O,"High")/COUNTA(Table1[Student_ID])</f>
        <v>0.5787234042553191</v>
      </c>
      <c r="T640">
        <f>AVERAGE(Table1[Academic Impact Flag])</f>
        <v>0.64255319148936174</v>
      </c>
      <c r="U640">
        <f>AVERAGE(Table1[Sleep_Hours_Per_Night])</f>
        <v>6.868936170212768</v>
      </c>
      <c r="V640">
        <f>AVERAGE(Table1[Mental_Health_Score])</f>
        <v>6.2269503546099294</v>
      </c>
    </row>
    <row r="641" spans="1:22" x14ac:dyDescent="0.3">
      <c r="A641">
        <v>640</v>
      </c>
      <c r="B641">
        <v>20</v>
      </c>
      <c r="C641" t="s">
        <v>18</v>
      </c>
      <c r="D641" t="s">
        <v>13</v>
      </c>
      <c r="E641" t="s">
        <v>47</v>
      </c>
      <c r="F641">
        <v>4.5</v>
      </c>
      <c r="G641" t="s">
        <v>21</v>
      </c>
      <c r="H641" t="s">
        <v>22</v>
      </c>
      <c r="I641">
        <v>7.3</v>
      </c>
      <c r="J641">
        <v>7</v>
      </c>
      <c r="K641" t="s">
        <v>17</v>
      </c>
      <c r="L641">
        <v>5</v>
      </c>
      <c r="M641" t="str">
        <f>IF(Table1[[#This Row],[Age]]&lt;=18,"Teen",IF(Table1[[#This Row],[Age]]&lt;=21,"Young Adult","Adult"))</f>
        <v>Young Adult</v>
      </c>
      <c r="N641" t="str">
        <f t="shared" si="45"/>
        <v>High</v>
      </c>
      <c r="O641" t="str">
        <f t="shared" si="46"/>
        <v>Medium</v>
      </c>
      <c r="P641" t="str">
        <f t="shared" si="47"/>
        <v>Healthy</v>
      </c>
      <c r="Q641">
        <f t="shared" si="48"/>
        <v>0</v>
      </c>
      <c r="R641" t="str">
        <f t="shared" si="49"/>
        <v>Good</v>
      </c>
      <c r="S641">
        <f>COUNTIF('Students Social Media Addiction'!O:O,"High")/COUNTA(Table1[Student_ID])</f>
        <v>0.5787234042553191</v>
      </c>
      <c r="T641">
        <f>AVERAGE(Table1[Academic Impact Flag])</f>
        <v>0.64255319148936174</v>
      </c>
      <c r="U641">
        <f>AVERAGE(Table1[Sleep_Hours_Per_Night])</f>
        <v>6.868936170212768</v>
      </c>
      <c r="V641">
        <f>AVERAGE(Table1[Mental_Health_Score])</f>
        <v>6.2269503546099294</v>
      </c>
    </row>
    <row r="642" spans="1:22" x14ac:dyDescent="0.3">
      <c r="A642">
        <v>641</v>
      </c>
      <c r="B642">
        <v>22</v>
      </c>
      <c r="C642" t="s">
        <v>12</v>
      </c>
      <c r="D642" t="s">
        <v>19</v>
      </c>
      <c r="E642" t="s">
        <v>54</v>
      </c>
      <c r="F642">
        <v>5.9</v>
      </c>
      <c r="G642" t="s">
        <v>15</v>
      </c>
      <c r="H642" t="s">
        <v>16</v>
      </c>
      <c r="I642">
        <v>6.5</v>
      </c>
      <c r="J642">
        <v>6</v>
      </c>
      <c r="K642" t="s">
        <v>23</v>
      </c>
      <c r="L642">
        <v>7</v>
      </c>
      <c r="M642" t="str">
        <f>IF(Table1[[#This Row],[Age]]&lt;=18,"Teen",IF(Table1[[#This Row],[Age]]&lt;=21,"Young Adult","Adult"))</f>
        <v>Adult</v>
      </c>
      <c r="N642" t="str">
        <f t="shared" ref="N642:N706" si="50">IF(F642&lt;2,"Low",
IF(F642&lt;4,"Moderate",
IF(F642&lt;6,"High","Very High")))</f>
        <v>High</v>
      </c>
      <c r="O642" t="str">
        <f t="shared" ref="O642:O706" si="51">IF(L642&lt;=3,"Low",
IF(L642&lt;=6,"Medium","High"))</f>
        <v>High</v>
      </c>
      <c r="P642" t="str">
        <f t="shared" ref="P642:P706" si="52">IF(I642&lt;6,"Poor",
IF(I642&lt;=7,"Average","Healthy"))</f>
        <v>Average</v>
      </c>
      <c r="Q642">
        <f t="shared" ref="Q642:Q706" si="53">IF(H642="Yes",1,0)</f>
        <v>1</v>
      </c>
      <c r="R642" t="str">
        <f t="shared" ref="R642:R706" si="54">IF(J642&lt;=4,"Poor",
IF(J642&lt;=6,"Average","Good"))</f>
        <v>Average</v>
      </c>
      <c r="S642">
        <f>COUNTIF('Students Social Media Addiction'!O:O,"High")/COUNTA(Table1[Student_ID])</f>
        <v>0.5787234042553191</v>
      </c>
      <c r="T642">
        <f>AVERAGE(Table1[Academic Impact Flag])</f>
        <v>0.64255319148936174</v>
      </c>
      <c r="U642">
        <f>AVERAGE(Table1[Sleep_Hours_Per_Night])</f>
        <v>6.868936170212768</v>
      </c>
      <c r="V642">
        <f>AVERAGE(Table1[Mental_Health_Score])</f>
        <v>6.2269503546099294</v>
      </c>
    </row>
    <row r="643" spans="1:22" x14ac:dyDescent="0.3">
      <c r="A643">
        <v>642</v>
      </c>
      <c r="B643">
        <v>19</v>
      </c>
      <c r="C643" t="s">
        <v>18</v>
      </c>
      <c r="D643" t="s">
        <v>13</v>
      </c>
      <c r="E643" t="s">
        <v>20</v>
      </c>
      <c r="F643">
        <v>7.2</v>
      </c>
      <c r="G643" t="s">
        <v>25</v>
      </c>
      <c r="H643" t="s">
        <v>16</v>
      </c>
      <c r="I643">
        <v>5.7</v>
      </c>
      <c r="J643">
        <v>4</v>
      </c>
      <c r="K643" t="s">
        <v>23</v>
      </c>
      <c r="L643">
        <v>9</v>
      </c>
      <c r="M643" t="str">
        <f>IF(Table1[[#This Row],[Age]]&lt;=18,"Teen",IF(Table1[[#This Row],[Age]]&lt;=21,"Young Adult","Adult"))</f>
        <v>Young Adult</v>
      </c>
      <c r="N643" t="str">
        <f t="shared" si="50"/>
        <v>Very High</v>
      </c>
      <c r="O643" t="str">
        <f t="shared" si="51"/>
        <v>High</v>
      </c>
      <c r="P643" t="str">
        <f t="shared" si="52"/>
        <v>Poor</v>
      </c>
      <c r="Q643">
        <f t="shared" si="53"/>
        <v>1</v>
      </c>
      <c r="R643" t="str">
        <f t="shared" si="54"/>
        <v>Poor</v>
      </c>
      <c r="S643">
        <f>COUNTIF('Students Social Media Addiction'!O:O,"High")/COUNTA(Table1[Student_ID])</f>
        <v>0.5787234042553191</v>
      </c>
      <c r="T643">
        <f>AVERAGE(Table1[Academic Impact Flag])</f>
        <v>0.64255319148936174</v>
      </c>
      <c r="U643">
        <f>AVERAGE(Table1[Sleep_Hours_Per_Night])</f>
        <v>6.868936170212768</v>
      </c>
      <c r="V643">
        <f>AVERAGE(Table1[Mental_Health_Score])</f>
        <v>6.2269503546099294</v>
      </c>
    </row>
    <row r="644" spans="1:22" x14ac:dyDescent="0.3">
      <c r="A644">
        <v>643</v>
      </c>
      <c r="B644">
        <v>24</v>
      </c>
      <c r="C644" t="s">
        <v>12</v>
      </c>
      <c r="D644" t="s">
        <v>19</v>
      </c>
      <c r="E644" t="s">
        <v>50</v>
      </c>
      <c r="F644">
        <v>4.5999999999999996</v>
      </c>
      <c r="G644" t="s">
        <v>31</v>
      </c>
      <c r="H644" t="s">
        <v>22</v>
      </c>
      <c r="I644">
        <v>7.2</v>
      </c>
      <c r="J644">
        <v>7</v>
      </c>
      <c r="K644" t="s">
        <v>17</v>
      </c>
      <c r="L644">
        <v>5</v>
      </c>
      <c r="M644" t="str">
        <f>IF(Table1[[#This Row],[Age]]&lt;=18,"Teen",IF(Table1[[#This Row],[Age]]&lt;=21,"Young Adult","Adult"))</f>
        <v>Adult</v>
      </c>
      <c r="N644" t="str">
        <f t="shared" si="50"/>
        <v>High</v>
      </c>
      <c r="O644" t="str">
        <f t="shared" si="51"/>
        <v>Medium</v>
      </c>
      <c r="P644" t="str">
        <f t="shared" si="52"/>
        <v>Healthy</v>
      </c>
      <c r="Q644">
        <f t="shared" si="53"/>
        <v>0</v>
      </c>
      <c r="R644" t="str">
        <f t="shared" si="54"/>
        <v>Good</v>
      </c>
      <c r="S644">
        <f>COUNTIF('Students Social Media Addiction'!O:O,"High")/COUNTA(Table1[Student_ID])</f>
        <v>0.5787234042553191</v>
      </c>
      <c r="T644">
        <f>AVERAGE(Table1[Academic Impact Flag])</f>
        <v>0.64255319148936174</v>
      </c>
      <c r="U644">
        <f>AVERAGE(Table1[Sleep_Hours_Per_Night])</f>
        <v>6.868936170212768</v>
      </c>
      <c r="V644">
        <f>AVERAGE(Table1[Mental_Health_Score])</f>
        <v>6.2269503546099294</v>
      </c>
    </row>
    <row r="645" spans="1:22" x14ac:dyDescent="0.3">
      <c r="A645">
        <v>644</v>
      </c>
      <c r="B645">
        <v>21</v>
      </c>
      <c r="C645" t="s">
        <v>18</v>
      </c>
      <c r="D645" t="s">
        <v>13</v>
      </c>
      <c r="E645" t="s">
        <v>64</v>
      </c>
      <c r="F645">
        <v>6.8</v>
      </c>
      <c r="G645" t="s">
        <v>15</v>
      </c>
      <c r="H645" t="s">
        <v>16</v>
      </c>
      <c r="I645">
        <v>6</v>
      </c>
      <c r="J645">
        <v>5</v>
      </c>
      <c r="K645" t="s">
        <v>23</v>
      </c>
      <c r="L645">
        <v>8</v>
      </c>
      <c r="M645" t="str">
        <f>IF(Table1[[#This Row],[Age]]&lt;=18,"Teen",IF(Table1[[#This Row],[Age]]&lt;=21,"Young Adult","Adult"))</f>
        <v>Young Adult</v>
      </c>
      <c r="N645" t="str">
        <f t="shared" si="50"/>
        <v>Very High</v>
      </c>
      <c r="O645" t="str">
        <f t="shared" si="51"/>
        <v>High</v>
      </c>
      <c r="P645" t="str">
        <f t="shared" si="52"/>
        <v>Average</v>
      </c>
      <c r="Q645">
        <f t="shared" si="53"/>
        <v>1</v>
      </c>
      <c r="R645" t="str">
        <f t="shared" si="54"/>
        <v>Average</v>
      </c>
      <c r="S645">
        <f>COUNTIF('Students Social Media Addiction'!O:O,"High")/COUNTA(Table1[Student_ID])</f>
        <v>0.5787234042553191</v>
      </c>
      <c r="T645">
        <f>AVERAGE(Table1[Academic Impact Flag])</f>
        <v>0.64255319148936174</v>
      </c>
      <c r="U645">
        <f>AVERAGE(Table1[Sleep_Hours_Per_Night])</f>
        <v>6.868936170212768</v>
      </c>
      <c r="V645">
        <f>AVERAGE(Table1[Mental_Health_Score])</f>
        <v>6.2269503546099294</v>
      </c>
    </row>
    <row r="646" spans="1:22" x14ac:dyDescent="0.3">
      <c r="A646">
        <v>645</v>
      </c>
      <c r="B646">
        <v>23</v>
      </c>
      <c r="C646" t="s">
        <v>12</v>
      </c>
      <c r="D646" t="s">
        <v>19</v>
      </c>
      <c r="E646" t="s">
        <v>24</v>
      </c>
      <c r="F646">
        <v>5.3</v>
      </c>
      <c r="G646" t="s">
        <v>21</v>
      </c>
      <c r="H646" t="s">
        <v>16</v>
      </c>
      <c r="I646">
        <v>6.8</v>
      </c>
      <c r="J646">
        <v>6</v>
      </c>
      <c r="K646" t="s">
        <v>17</v>
      </c>
      <c r="L646">
        <v>7</v>
      </c>
      <c r="M646" t="str">
        <f>IF(Table1[[#This Row],[Age]]&lt;=18,"Teen",IF(Table1[[#This Row],[Age]]&lt;=21,"Young Adult","Adult"))</f>
        <v>Adult</v>
      </c>
      <c r="N646" t="str">
        <f t="shared" si="50"/>
        <v>High</v>
      </c>
      <c r="O646" t="str">
        <f t="shared" si="51"/>
        <v>High</v>
      </c>
      <c r="P646" t="str">
        <f t="shared" si="52"/>
        <v>Average</v>
      </c>
      <c r="Q646">
        <f t="shared" si="53"/>
        <v>1</v>
      </c>
      <c r="R646" t="str">
        <f t="shared" si="54"/>
        <v>Average</v>
      </c>
      <c r="S646">
        <f>COUNTIF('Students Social Media Addiction'!O:O,"High")/COUNTA(Table1[Student_ID])</f>
        <v>0.5787234042553191</v>
      </c>
      <c r="T646">
        <f>AVERAGE(Table1[Academic Impact Flag])</f>
        <v>0.64255319148936174</v>
      </c>
      <c r="U646">
        <f>AVERAGE(Table1[Sleep_Hours_Per_Night])</f>
        <v>6.868936170212768</v>
      </c>
      <c r="V646">
        <f>AVERAGE(Table1[Mental_Health_Score])</f>
        <v>6.2269503546099294</v>
      </c>
    </row>
    <row r="647" spans="1:22" x14ac:dyDescent="0.3">
      <c r="A647">
        <v>646</v>
      </c>
      <c r="B647">
        <v>22</v>
      </c>
      <c r="C647" t="s">
        <v>18</v>
      </c>
      <c r="D647" t="s">
        <v>19</v>
      </c>
      <c r="E647" t="s">
        <v>42</v>
      </c>
      <c r="F647">
        <v>6.3</v>
      </c>
      <c r="G647" t="s">
        <v>31</v>
      </c>
      <c r="H647" t="s">
        <v>16</v>
      </c>
      <c r="I647">
        <v>6.2</v>
      </c>
      <c r="J647">
        <v>5</v>
      </c>
      <c r="K647" t="s">
        <v>23</v>
      </c>
      <c r="L647">
        <v>8</v>
      </c>
      <c r="M647" t="str">
        <f>IF(Table1[[#This Row],[Age]]&lt;=18,"Teen",IF(Table1[[#This Row],[Age]]&lt;=21,"Young Adult","Adult"))</f>
        <v>Adult</v>
      </c>
      <c r="N647" t="str">
        <f t="shared" si="50"/>
        <v>Very High</v>
      </c>
      <c r="O647" t="str">
        <f t="shared" si="51"/>
        <v>High</v>
      </c>
      <c r="P647" t="str">
        <f t="shared" si="52"/>
        <v>Average</v>
      </c>
      <c r="Q647">
        <f t="shared" si="53"/>
        <v>1</v>
      </c>
      <c r="R647" t="str">
        <f t="shared" si="54"/>
        <v>Average</v>
      </c>
      <c r="S647">
        <f>COUNTIF('Students Social Media Addiction'!O:O,"High")/COUNTA(Table1[Student_ID])</f>
        <v>0.5787234042553191</v>
      </c>
      <c r="T647">
        <f>AVERAGE(Table1[Academic Impact Flag])</f>
        <v>0.64255319148936174</v>
      </c>
      <c r="U647">
        <f>AVERAGE(Table1[Sleep_Hours_Per_Night])</f>
        <v>6.868936170212768</v>
      </c>
      <c r="V647">
        <f>AVERAGE(Table1[Mental_Health_Score])</f>
        <v>6.2269503546099294</v>
      </c>
    </row>
    <row r="648" spans="1:22" x14ac:dyDescent="0.3">
      <c r="A648">
        <v>647</v>
      </c>
      <c r="B648">
        <v>20</v>
      </c>
      <c r="C648" t="s">
        <v>12</v>
      </c>
      <c r="D648" t="s">
        <v>13</v>
      </c>
      <c r="E648" t="s">
        <v>39</v>
      </c>
      <c r="F648">
        <v>4.8</v>
      </c>
      <c r="G648" t="s">
        <v>15</v>
      </c>
      <c r="H648" t="s">
        <v>22</v>
      </c>
      <c r="I648">
        <v>7.1</v>
      </c>
      <c r="J648">
        <v>7</v>
      </c>
      <c r="K648" t="s">
        <v>17</v>
      </c>
      <c r="L648">
        <v>5</v>
      </c>
      <c r="M648" t="str">
        <f>IF(Table1[[#This Row],[Age]]&lt;=18,"Teen",IF(Table1[[#This Row],[Age]]&lt;=21,"Young Adult","Adult"))</f>
        <v>Young Adult</v>
      </c>
      <c r="N648" t="str">
        <f t="shared" si="50"/>
        <v>High</v>
      </c>
      <c r="O648" t="str">
        <f t="shared" si="51"/>
        <v>Medium</v>
      </c>
      <c r="P648" t="str">
        <f t="shared" si="52"/>
        <v>Healthy</v>
      </c>
      <c r="Q648">
        <f t="shared" si="53"/>
        <v>0</v>
      </c>
      <c r="R648" t="str">
        <f t="shared" si="54"/>
        <v>Good</v>
      </c>
      <c r="S648">
        <f>COUNTIF('Students Social Media Addiction'!O:O,"High")/COUNTA(Table1[Student_ID])</f>
        <v>0.5787234042553191</v>
      </c>
      <c r="T648">
        <f>AVERAGE(Table1[Academic Impact Flag])</f>
        <v>0.64255319148936174</v>
      </c>
      <c r="U648">
        <f>AVERAGE(Table1[Sleep_Hours_Per_Night])</f>
        <v>6.868936170212768</v>
      </c>
      <c r="V648">
        <f>AVERAGE(Table1[Mental_Health_Score])</f>
        <v>6.2269503546099294</v>
      </c>
    </row>
    <row r="649" spans="1:22" x14ac:dyDescent="0.3">
      <c r="A649">
        <v>648</v>
      </c>
      <c r="B649">
        <v>23</v>
      </c>
      <c r="C649" t="s">
        <v>18</v>
      </c>
      <c r="D649" t="s">
        <v>19</v>
      </c>
      <c r="E649" t="s">
        <v>30</v>
      </c>
      <c r="F649">
        <v>5.7</v>
      </c>
      <c r="G649" t="s">
        <v>25</v>
      </c>
      <c r="H649" t="s">
        <v>16</v>
      </c>
      <c r="I649">
        <v>6.6</v>
      </c>
      <c r="J649">
        <v>6</v>
      </c>
      <c r="K649" t="s">
        <v>23</v>
      </c>
      <c r="L649">
        <v>7</v>
      </c>
      <c r="M649" t="str">
        <f>IF(Table1[[#This Row],[Age]]&lt;=18,"Teen",IF(Table1[[#This Row],[Age]]&lt;=21,"Young Adult","Adult"))</f>
        <v>Adult</v>
      </c>
      <c r="N649" t="str">
        <f t="shared" si="50"/>
        <v>High</v>
      </c>
      <c r="O649" t="str">
        <f t="shared" si="51"/>
        <v>High</v>
      </c>
      <c r="P649" t="str">
        <f t="shared" si="52"/>
        <v>Average</v>
      </c>
      <c r="Q649">
        <f t="shared" si="53"/>
        <v>1</v>
      </c>
      <c r="R649" t="str">
        <f t="shared" si="54"/>
        <v>Average</v>
      </c>
      <c r="S649">
        <f>COUNTIF('Students Social Media Addiction'!O:O,"High")/COUNTA(Table1[Student_ID])</f>
        <v>0.5787234042553191</v>
      </c>
      <c r="T649">
        <f>AVERAGE(Table1[Academic Impact Flag])</f>
        <v>0.64255319148936174</v>
      </c>
      <c r="U649">
        <f>AVERAGE(Table1[Sleep_Hours_Per_Night])</f>
        <v>6.868936170212768</v>
      </c>
      <c r="V649">
        <f>AVERAGE(Table1[Mental_Health_Score])</f>
        <v>6.2269503546099294</v>
      </c>
    </row>
    <row r="650" spans="1:22" x14ac:dyDescent="0.3">
      <c r="A650">
        <v>649</v>
      </c>
      <c r="B650">
        <v>21</v>
      </c>
      <c r="C650" t="s">
        <v>12</v>
      </c>
      <c r="D650" t="s">
        <v>13</v>
      </c>
      <c r="E650" t="s">
        <v>28</v>
      </c>
      <c r="F650">
        <v>6.2</v>
      </c>
      <c r="G650" t="s">
        <v>21</v>
      </c>
      <c r="H650" t="s">
        <v>16</v>
      </c>
      <c r="I650">
        <v>6.3</v>
      </c>
      <c r="J650">
        <v>5</v>
      </c>
      <c r="K650" t="s">
        <v>23</v>
      </c>
      <c r="L650">
        <v>8</v>
      </c>
      <c r="M650" t="str">
        <f>IF(Table1[[#This Row],[Age]]&lt;=18,"Teen",IF(Table1[[#This Row],[Age]]&lt;=21,"Young Adult","Adult"))</f>
        <v>Young Adult</v>
      </c>
      <c r="N650" t="str">
        <f t="shared" si="50"/>
        <v>Very High</v>
      </c>
      <c r="O650" t="str">
        <f t="shared" si="51"/>
        <v>High</v>
      </c>
      <c r="P650" t="str">
        <f t="shared" si="52"/>
        <v>Average</v>
      </c>
      <c r="Q650">
        <f t="shared" si="53"/>
        <v>1</v>
      </c>
      <c r="R650" t="str">
        <f t="shared" si="54"/>
        <v>Average</v>
      </c>
      <c r="S650">
        <f>COUNTIF('Students Social Media Addiction'!O:O,"High")/COUNTA(Table1[Student_ID])</f>
        <v>0.5787234042553191</v>
      </c>
      <c r="T650">
        <f>AVERAGE(Table1[Academic Impact Flag])</f>
        <v>0.64255319148936174</v>
      </c>
      <c r="U650">
        <f>AVERAGE(Table1[Sleep_Hours_Per_Night])</f>
        <v>6.868936170212768</v>
      </c>
      <c r="V650">
        <f>AVERAGE(Table1[Mental_Health_Score])</f>
        <v>6.2269503546099294</v>
      </c>
    </row>
    <row r="651" spans="1:22" x14ac:dyDescent="0.3">
      <c r="A651">
        <v>650</v>
      </c>
      <c r="B651">
        <v>24</v>
      </c>
      <c r="C651" t="s">
        <v>18</v>
      </c>
      <c r="D651" t="s">
        <v>19</v>
      </c>
      <c r="E651" t="s">
        <v>41</v>
      </c>
      <c r="F651">
        <v>4.7</v>
      </c>
      <c r="G651" t="s">
        <v>31</v>
      </c>
      <c r="H651" t="s">
        <v>22</v>
      </c>
      <c r="I651">
        <v>7.2</v>
      </c>
      <c r="J651">
        <v>7</v>
      </c>
      <c r="K651" t="s">
        <v>17</v>
      </c>
      <c r="L651">
        <v>5</v>
      </c>
      <c r="M651" t="str">
        <f>IF(Table1[[#This Row],[Age]]&lt;=18,"Teen",IF(Table1[[#This Row],[Age]]&lt;=21,"Young Adult","Adult"))</f>
        <v>Adult</v>
      </c>
      <c r="N651" t="str">
        <f t="shared" si="50"/>
        <v>High</v>
      </c>
      <c r="O651" t="str">
        <f t="shared" si="51"/>
        <v>Medium</v>
      </c>
      <c r="P651" t="str">
        <f t="shared" si="52"/>
        <v>Healthy</v>
      </c>
      <c r="Q651">
        <f t="shared" si="53"/>
        <v>0</v>
      </c>
      <c r="R651" t="str">
        <f t="shared" si="54"/>
        <v>Good</v>
      </c>
      <c r="S651">
        <f>COUNTIF('Students Social Media Addiction'!O:O,"High")/COUNTA(Table1[Student_ID])</f>
        <v>0.5787234042553191</v>
      </c>
      <c r="T651">
        <f>AVERAGE(Table1[Academic Impact Flag])</f>
        <v>0.64255319148936174</v>
      </c>
      <c r="U651">
        <f>AVERAGE(Table1[Sleep_Hours_Per_Night])</f>
        <v>6.868936170212768</v>
      </c>
      <c r="V651">
        <f>AVERAGE(Table1[Mental_Health_Score])</f>
        <v>6.2269503546099294</v>
      </c>
    </row>
    <row r="652" spans="1:22" x14ac:dyDescent="0.3">
      <c r="A652">
        <v>651</v>
      </c>
      <c r="B652">
        <v>19</v>
      </c>
      <c r="C652" t="s">
        <v>12</v>
      </c>
      <c r="D652" t="s">
        <v>13</v>
      </c>
      <c r="E652" t="s">
        <v>43</v>
      </c>
      <c r="F652">
        <v>6.8</v>
      </c>
      <c r="G652" t="s">
        <v>15</v>
      </c>
      <c r="H652" t="s">
        <v>16</v>
      </c>
      <c r="I652">
        <v>5.9</v>
      </c>
      <c r="J652">
        <v>4</v>
      </c>
      <c r="K652" t="s">
        <v>23</v>
      </c>
      <c r="L652">
        <v>9</v>
      </c>
      <c r="M652" t="str">
        <f>IF(Table1[[#This Row],[Age]]&lt;=18,"Teen",IF(Table1[[#This Row],[Age]]&lt;=21,"Young Adult","Adult"))</f>
        <v>Young Adult</v>
      </c>
      <c r="N652" t="str">
        <f t="shared" si="50"/>
        <v>Very High</v>
      </c>
      <c r="O652" t="str">
        <f t="shared" si="51"/>
        <v>High</v>
      </c>
      <c r="P652" t="str">
        <f t="shared" si="52"/>
        <v>Poor</v>
      </c>
      <c r="Q652">
        <f t="shared" si="53"/>
        <v>1</v>
      </c>
      <c r="R652" t="str">
        <f t="shared" si="54"/>
        <v>Poor</v>
      </c>
      <c r="S652">
        <f>COUNTIF('Students Social Media Addiction'!O:O,"High")/COUNTA(Table1[Student_ID])</f>
        <v>0.5787234042553191</v>
      </c>
      <c r="T652">
        <f>AVERAGE(Table1[Academic Impact Flag])</f>
        <v>0.64255319148936174</v>
      </c>
      <c r="U652">
        <f>AVERAGE(Table1[Sleep_Hours_Per_Night])</f>
        <v>6.868936170212768</v>
      </c>
      <c r="V652">
        <f>AVERAGE(Table1[Mental_Health_Score])</f>
        <v>6.2269503546099294</v>
      </c>
    </row>
    <row r="653" spans="1:22" x14ac:dyDescent="0.3">
      <c r="A653">
        <v>652</v>
      </c>
      <c r="B653">
        <v>22</v>
      </c>
      <c r="C653" t="s">
        <v>18</v>
      </c>
      <c r="D653" t="s">
        <v>19</v>
      </c>
      <c r="E653" t="s">
        <v>44</v>
      </c>
      <c r="F653">
        <v>5.6</v>
      </c>
      <c r="G653" t="s">
        <v>143</v>
      </c>
      <c r="H653" t="s">
        <v>16</v>
      </c>
      <c r="I653">
        <v>6.7</v>
      </c>
      <c r="J653">
        <v>6</v>
      </c>
      <c r="K653" t="s">
        <v>17</v>
      </c>
      <c r="L653">
        <v>7</v>
      </c>
      <c r="M653" t="str">
        <f>IF(Table1[[#This Row],[Age]]&lt;=18,"Teen",IF(Table1[[#This Row],[Age]]&lt;=21,"Young Adult","Adult"))</f>
        <v>Adult</v>
      </c>
      <c r="N653" t="str">
        <f t="shared" si="50"/>
        <v>High</v>
      </c>
      <c r="O653" t="str">
        <f t="shared" si="51"/>
        <v>High</v>
      </c>
      <c r="P653" t="str">
        <f t="shared" si="52"/>
        <v>Average</v>
      </c>
      <c r="Q653">
        <f t="shared" si="53"/>
        <v>1</v>
      </c>
      <c r="R653" t="str">
        <f t="shared" si="54"/>
        <v>Average</v>
      </c>
      <c r="S653">
        <f>COUNTIF('Students Social Media Addiction'!O:O,"High")/COUNTA(Table1[Student_ID])</f>
        <v>0.5787234042553191</v>
      </c>
      <c r="T653">
        <f>AVERAGE(Table1[Academic Impact Flag])</f>
        <v>0.64255319148936174</v>
      </c>
      <c r="U653">
        <f>AVERAGE(Table1[Sleep_Hours_Per_Night])</f>
        <v>6.868936170212768</v>
      </c>
      <c r="V653">
        <f>AVERAGE(Table1[Mental_Health_Score])</f>
        <v>6.2269503546099294</v>
      </c>
    </row>
    <row r="654" spans="1:22" x14ac:dyDescent="0.3">
      <c r="A654">
        <v>653</v>
      </c>
      <c r="B654">
        <v>20</v>
      </c>
      <c r="C654" t="s">
        <v>12</v>
      </c>
      <c r="D654" t="s">
        <v>13</v>
      </c>
      <c r="E654" t="s">
        <v>37</v>
      </c>
      <c r="F654">
        <v>4.3</v>
      </c>
      <c r="G654" t="s">
        <v>21</v>
      </c>
      <c r="H654" t="s">
        <v>22</v>
      </c>
      <c r="I654">
        <v>7.5</v>
      </c>
      <c r="J654">
        <v>8</v>
      </c>
      <c r="K654" t="s">
        <v>23</v>
      </c>
      <c r="L654">
        <v>4</v>
      </c>
      <c r="M654" t="str">
        <f>IF(Table1[[#This Row],[Age]]&lt;=18,"Teen",IF(Table1[[#This Row],[Age]]&lt;=21,"Young Adult","Adult"))</f>
        <v>Young Adult</v>
      </c>
      <c r="N654" t="str">
        <f t="shared" si="50"/>
        <v>High</v>
      </c>
      <c r="O654" t="str">
        <f t="shared" si="51"/>
        <v>Medium</v>
      </c>
      <c r="P654" t="str">
        <f t="shared" si="52"/>
        <v>Healthy</v>
      </c>
      <c r="Q654">
        <f t="shared" si="53"/>
        <v>0</v>
      </c>
      <c r="R654" t="str">
        <f t="shared" si="54"/>
        <v>Good</v>
      </c>
      <c r="S654">
        <f>COUNTIF('Students Social Media Addiction'!O:O,"High")/COUNTA(Table1[Student_ID])</f>
        <v>0.5787234042553191</v>
      </c>
      <c r="T654">
        <f>AVERAGE(Table1[Academic Impact Flag])</f>
        <v>0.64255319148936174</v>
      </c>
      <c r="U654">
        <f>AVERAGE(Table1[Sleep_Hours_Per_Night])</f>
        <v>6.868936170212768</v>
      </c>
      <c r="V654">
        <f>AVERAGE(Table1[Mental_Health_Score])</f>
        <v>6.2269503546099294</v>
      </c>
    </row>
    <row r="655" spans="1:22" x14ac:dyDescent="0.3">
      <c r="A655">
        <v>654</v>
      </c>
      <c r="B655">
        <v>23</v>
      </c>
      <c r="C655" t="s">
        <v>18</v>
      </c>
      <c r="D655" t="s">
        <v>19</v>
      </c>
      <c r="E655" t="s">
        <v>89</v>
      </c>
      <c r="F655">
        <v>6.2</v>
      </c>
      <c r="G655" t="s">
        <v>25</v>
      </c>
      <c r="H655" t="s">
        <v>16</v>
      </c>
      <c r="I655">
        <v>6.3</v>
      </c>
      <c r="J655">
        <v>5</v>
      </c>
      <c r="K655" t="s">
        <v>23</v>
      </c>
      <c r="L655">
        <v>8</v>
      </c>
      <c r="M655" t="str">
        <f>IF(Table1[[#This Row],[Age]]&lt;=18,"Teen",IF(Table1[[#This Row],[Age]]&lt;=21,"Young Adult","Adult"))</f>
        <v>Adult</v>
      </c>
      <c r="N655" t="str">
        <f t="shared" si="50"/>
        <v>Very High</v>
      </c>
      <c r="O655" t="str">
        <f t="shared" si="51"/>
        <v>High</v>
      </c>
      <c r="P655" t="str">
        <f t="shared" si="52"/>
        <v>Average</v>
      </c>
      <c r="Q655">
        <f t="shared" si="53"/>
        <v>1</v>
      </c>
      <c r="R655" t="str">
        <f t="shared" si="54"/>
        <v>Average</v>
      </c>
      <c r="S655">
        <f>COUNTIF('Students Social Media Addiction'!O:O,"High")/COUNTA(Table1[Student_ID])</f>
        <v>0.5787234042553191</v>
      </c>
      <c r="T655">
        <f>AVERAGE(Table1[Academic Impact Flag])</f>
        <v>0.64255319148936174</v>
      </c>
      <c r="U655">
        <f>AVERAGE(Table1[Sleep_Hours_Per_Night])</f>
        <v>6.868936170212768</v>
      </c>
      <c r="V655">
        <f>AVERAGE(Table1[Mental_Health_Score])</f>
        <v>6.2269503546099294</v>
      </c>
    </row>
    <row r="656" spans="1:22" x14ac:dyDescent="0.3">
      <c r="A656">
        <v>655</v>
      </c>
      <c r="B656">
        <v>21</v>
      </c>
      <c r="C656" t="s">
        <v>12</v>
      </c>
      <c r="D656" t="s">
        <v>13</v>
      </c>
      <c r="E656" t="s">
        <v>88</v>
      </c>
      <c r="F656">
        <v>4.4000000000000004</v>
      </c>
      <c r="G656" t="s">
        <v>15</v>
      </c>
      <c r="H656" t="s">
        <v>22</v>
      </c>
      <c r="I656">
        <v>7.4</v>
      </c>
      <c r="J656">
        <v>7</v>
      </c>
      <c r="K656" t="s">
        <v>17</v>
      </c>
      <c r="L656">
        <v>5</v>
      </c>
      <c r="M656" t="str">
        <f>IF(Table1[[#This Row],[Age]]&lt;=18,"Teen",IF(Table1[[#This Row],[Age]]&lt;=21,"Young Adult","Adult"))</f>
        <v>Young Adult</v>
      </c>
      <c r="N656" t="str">
        <f t="shared" si="50"/>
        <v>High</v>
      </c>
      <c r="O656" t="str">
        <f t="shared" si="51"/>
        <v>Medium</v>
      </c>
      <c r="P656" t="str">
        <f t="shared" si="52"/>
        <v>Healthy</v>
      </c>
      <c r="Q656">
        <f t="shared" si="53"/>
        <v>0</v>
      </c>
      <c r="R656" t="str">
        <f t="shared" si="54"/>
        <v>Good</v>
      </c>
      <c r="S656">
        <f>COUNTIF('Students Social Media Addiction'!O:O,"High")/COUNTA(Table1[Student_ID])</f>
        <v>0.5787234042553191</v>
      </c>
      <c r="T656">
        <f>AVERAGE(Table1[Academic Impact Flag])</f>
        <v>0.64255319148936174</v>
      </c>
      <c r="U656">
        <f>AVERAGE(Table1[Sleep_Hours_Per_Night])</f>
        <v>6.868936170212768</v>
      </c>
      <c r="V656">
        <f>AVERAGE(Table1[Mental_Health_Score])</f>
        <v>6.2269503546099294</v>
      </c>
    </row>
    <row r="657" spans="1:22" x14ac:dyDescent="0.3">
      <c r="A657">
        <v>656</v>
      </c>
      <c r="B657">
        <v>24</v>
      </c>
      <c r="C657" t="s">
        <v>18</v>
      </c>
      <c r="D657" t="s">
        <v>19</v>
      </c>
      <c r="E657" t="s">
        <v>40</v>
      </c>
      <c r="F657">
        <v>6.5</v>
      </c>
      <c r="G657" t="s">
        <v>31</v>
      </c>
      <c r="H657" t="s">
        <v>16</v>
      </c>
      <c r="I657">
        <v>6.1</v>
      </c>
      <c r="J657">
        <v>5</v>
      </c>
      <c r="K657" t="s">
        <v>23</v>
      </c>
      <c r="L657">
        <v>8</v>
      </c>
      <c r="M657" t="str">
        <f>IF(Table1[[#This Row],[Age]]&lt;=18,"Teen",IF(Table1[[#This Row],[Age]]&lt;=21,"Young Adult","Adult"))</f>
        <v>Adult</v>
      </c>
      <c r="N657" t="str">
        <f t="shared" si="50"/>
        <v>Very High</v>
      </c>
      <c r="O657" t="str">
        <f t="shared" si="51"/>
        <v>High</v>
      </c>
      <c r="P657" t="str">
        <f t="shared" si="52"/>
        <v>Average</v>
      </c>
      <c r="Q657">
        <f t="shared" si="53"/>
        <v>1</v>
      </c>
      <c r="R657" t="str">
        <f t="shared" si="54"/>
        <v>Average</v>
      </c>
      <c r="S657">
        <f>COUNTIF('Students Social Media Addiction'!O:O,"High")/COUNTA(Table1[Student_ID])</f>
        <v>0.5787234042553191</v>
      </c>
      <c r="T657">
        <f>AVERAGE(Table1[Academic Impact Flag])</f>
        <v>0.64255319148936174</v>
      </c>
      <c r="U657">
        <f>AVERAGE(Table1[Sleep_Hours_Per_Night])</f>
        <v>6.868936170212768</v>
      </c>
      <c r="V657">
        <f>AVERAGE(Table1[Mental_Health_Score])</f>
        <v>6.2269503546099294</v>
      </c>
    </row>
    <row r="658" spans="1:22" x14ac:dyDescent="0.3">
      <c r="A658">
        <v>657</v>
      </c>
      <c r="B658">
        <v>19</v>
      </c>
      <c r="C658" t="s">
        <v>12</v>
      </c>
      <c r="D658" t="s">
        <v>13</v>
      </c>
      <c r="E658" t="s">
        <v>47</v>
      </c>
      <c r="F658">
        <v>4.5999999999999996</v>
      </c>
      <c r="G658" t="s">
        <v>21</v>
      </c>
      <c r="H658" t="s">
        <v>22</v>
      </c>
      <c r="I658">
        <v>7.3</v>
      </c>
      <c r="J658">
        <v>7</v>
      </c>
      <c r="K658" t="s">
        <v>17</v>
      </c>
      <c r="L658">
        <v>5</v>
      </c>
      <c r="M658" t="str">
        <f>IF(Table1[[#This Row],[Age]]&lt;=18,"Teen",IF(Table1[[#This Row],[Age]]&lt;=21,"Young Adult","Adult"))</f>
        <v>Young Adult</v>
      </c>
      <c r="N658" t="str">
        <f t="shared" si="50"/>
        <v>High</v>
      </c>
      <c r="O658" t="str">
        <f t="shared" si="51"/>
        <v>Medium</v>
      </c>
      <c r="P658" t="str">
        <f t="shared" si="52"/>
        <v>Healthy</v>
      </c>
      <c r="Q658">
        <f t="shared" si="53"/>
        <v>0</v>
      </c>
      <c r="R658" t="str">
        <f t="shared" si="54"/>
        <v>Good</v>
      </c>
      <c r="S658">
        <f>COUNTIF('Students Social Media Addiction'!O:O,"High")/COUNTA(Table1[Student_ID])</f>
        <v>0.5787234042553191</v>
      </c>
      <c r="T658">
        <f>AVERAGE(Table1[Academic Impact Flag])</f>
        <v>0.64255319148936174</v>
      </c>
      <c r="U658">
        <f>AVERAGE(Table1[Sleep_Hours_Per_Night])</f>
        <v>6.868936170212768</v>
      </c>
      <c r="V658">
        <f>AVERAGE(Table1[Mental_Health_Score])</f>
        <v>6.2269503546099294</v>
      </c>
    </row>
    <row r="659" spans="1:22" x14ac:dyDescent="0.3">
      <c r="A659">
        <v>658</v>
      </c>
      <c r="B659">
        <v>22</v>
      </c>
      <c r="C659" t="s">
        <v>18</v>
      </c>
      <c r="D659" t="s">
        <v>19</v>
      </c>
      <c r="E659" t="s">
        <v>54</v>
      </c>
      <c r="F659">
        <v>5.8</v>
      </c>
      <c r="G659" t="s">
        <v>15</v>
      </c>
      <c r="H659" t="s">
        <v>16</v>
      </c>
      <c r="I659">
        <v>6.6</v>
      </c>
      <c r="J659">
        <v>6</v>
      </c>
      <c r="K659" t="s">
        <v>23</v>
      </c>
      <c r="L659">
        <v>7</v>
      </c>
      <c r="M659" t="str">
        <f>IF(Table1[[#This Row],[Age]]&lt;=18,"Teen",IF(Table1[[#This Row],[Age]]&lt;=21,"Young Adult","Adult"))</f>
        <v>Adult</v>
      </c>
      <c r="N659" t="str">
        <f t="shared" si="50"/>
        <v>High</v>
      </c>
      <c r="O659" t="str">
        <f t="shared" si="51"/>
        <v>High</v>
      </c>
      <c r="P659" t="str">
        <f t="shared" si="52"/>
        <v>Average</v>
      </c>
      <c r="Q659">
        <f t="shared" si="53"/>
        <v>1</v>
      </c>
      <c r="R659" t="str">
        <f t="shared" si="54"/>
        <v>Average</v>
      </c>
      <c r="S659">
        <f>COUNTIF('Students Social Media Addiction'!O:O,"High")/COUNTA(Table1[Student_ID])</f>
        <v>0.5787234042553191</v>
      </c>
      <c r="T659">
        <f>AVERAGE(Table1[Academic Impact Flag])</f>
        <v>0.64255319148936174</v>
      </c>
      <c r="U659">
        <f>AVERAGE(Table1[Sleep_Hours_Per_Night])</f>
        <v>6.868936170212768</v>
      </c>
      <c r="V659">
        <f>AVERAGE(Table1[Mental_Health_Score])</f>
        <v>6.2269503546099294</v>
      </c>
    </row>
    <row r="660" spans="1:22" x14ac:dyDescent="0.3">
      <c r="A660">
        <v>659</v>
      </c>
      <c r="B660">
        <v>20</v>
      </c>
      <c r="C660" t="s">
        <v>12</v>
      </c>
      <c r="D660" t="s">
        <v>13</v>
      </c>
      <c r="E660" t="s">
        <v>20</v>
      </c>
      <c r="F660">
        <v>7.1</v>
      </c>
      <c r="G660" t="s">
        <v>25</v>
      </c>
      <c r="H660" t="s">
        <v>16</v>
      </c>
      <c r="I660">
        <v>5.8</v>
      </c>
      <c r="J660">
        <v>4</v>
      </c>
      <c r="K660" t="s">
        <v>23</v>
      </c>
      <c r="L660">
        <v>9</v>
      </c>
      <c r="M660" t="str">
        <f>IF(Table1[[#This Row],[Age]]&lt;=18,"Teen",IF(Table1[[#This Row],[Age]]&lt;=21,"Young Adult","Adult"))</f>
        <v>Young Adult</v>
      </c>
      <c r="N660" t="str">
        <f t="shared" si="50"/>
        <v>Very High</v>
      </c>
      <c r="O660" t="str">
        <f t="shared" si="51"/>
        <v>High</v>
      </c>
      <c r="P660" t="str">
        <f t="shared" si="52"/>
        <v>Poor</v>
      </c>
      <c r="Q660">
        <f t="shared" si="53"/>
        <v>1</v>
      </c>
      <c r="R660" t="str">
        <f t="shared" si="54"/>
        <v>Poor</v>
      </c>
      <c r="S660">
        <f>COUNTIF('Students Social Media Addiction'!O:O,"High")/COUNTA(Table1[Student_ID])</f>
        <v>0.5787234042553191</v>
      </c>
      <c r="T660">
        <f>AVERAGE(Table1[Academic Impact Flag])</f>
        <v>0.64255319148936174</v>
      </c>
      <c r="U660">
        <f>AVERAGE(Table1[Sleep_Hours_Per_Night])</f>
        <v>6.868936170212768</v>
      </c>
      <c r="V660">
        <f>AVERAGE(Table1[Mental_Health_Score])</f>
        <v>6.2269503546099294</v>
      </c>
    </row>
    <row r="661" spans="1:22" x14ac:dyDescent="0.3">
      <c r="A661">
        <v>660</v>
      </c>
      <c r="B661">
        <v>23</v>
      </c>
      <c r="C661" t="s">
        <v>18</v>
      </c>
      <c r="D661" t="s">
        <v>19</v>
      </c>
      <c r="E661" t="s">
        <v>50</v>
      </c>
      <c r="F661">
        <v>4.5</v>
      </c>
      <c r="G661" t="s">
        <v>31</v>
      </c>
      <c r="H661" t="s">
        <v>22</v>
      </c>
      <c r="I661">
        <v>7.3</v>
      </c>
      <c r="J661">
        <v>7</v>
      </c>
      <c r="K661" t="s">
        <v>17</v>
      </c>
      <c r="L661">
        <v>5</v>
      </c>
      <c r="M661" t="str">
        <f>IF(Table1[[#This Row],[Age]]&lt;=18,"Teen",IF(Table1[[#This Row],[Age]]&lt;=21,"Young Adult","Adult"))</f>
        <v>Adult</v>
      </c>
      <c r="N661" t="str">
        <f t="shared" si="50"/>
        <v>High</v>
      </c>
      <c r="O661" t="str">
        <f t="shared" si="51"/>
        <v>Medium</v>
      </c>
      <c r="P661" t="str">
        <f t="shared" si="52"/>
        <v>Healthy</v>
      </c>
      <c r="Q661">
        <f t="shared" si="53"/>
        <v>0</v>
      </c>
      <c r="R661" t="str">
        <f t="shared" si="54"/>
        <v>Good</v>
      </c>
      <c r="S661">
        <f>COUNTIF('Students Social Media Addiction'!O:O,"High")/COUNTA(Table1[Student_ID])</f>
        <v>0.5787234042553191</v>
      </c>
      <c r="T661">
        <f>AVERAGE(Table1[Academic Impact Flag])</f>
        <v>0.64255319148936174</v>
      </c>
      <c r="U661">
        <f>AVERAGE(Table1[Sleep_Hours_Per_Night])</f>
        <v>6.868936170212768</v>
      </c>
      <c r="V661">
        <f>AVERAGE(Table1[Mental_Health_Score])</f>
        <v>6.2269503546099294</v>
      </c>
    </row>
    <row r="662" spans="1:22" x14ac:dyDescent="0.3">
      <c r="A662">
        <v>661</v>
      </c>
      <c r="B662">
        <v>21</v>
      </c>
      <c r="C662" t="s">
        <v>12</v>
      </c>
      <c r="D662" t="s">
        <v>13</v>
      </c>
      <c r="E662" t="s">
        <v>64</v>
      </c>
      <c r="F662">
        <v>6.7</v>
      </c>
      <c r="G662" t="s">
        <v>15</v>
      </c>
      <c r="H662" t="s">
        <v>16</v>
      </c>
      <c r="I662">
        <v>6</v>
      </c>
      <c r="J662">
        <v>5</v>
      </c>
      <c r="K662" t="s">
        <v>23</v>
      </c>
      <c r="L662">
        <v>8</v>
      </c>
      <c r="M662" t="str">
        <f>IF(Table1[[#This Row],[Age]]&lt;=18,"Teen",IF(Table1[[#This Row],[Age]]&lt;=21,"Young Adult","Adult"))</f>
        <v>Young Adult</v>
      </c>
      <c r="N662" t="str">
        <f t="shared" si="50"/>
        <v>Very High</v>
      </c>
      <c r="O662" t="str">
        <f t="shared" si="51"/>
        <v>High</v>
      </c>
      <c r="P662" t="str">
        <f t="shared" si="52"/>
        <v>Average</v>
      </c>
      <c r="Q662">
        <f t="shared" si="53"/>
        <v>1</v>
      </c>
      <c r="R662" t="str">
        <f t="shared" si="54"/>
        <v>Average</v>
      </c>
      <c r="S662">
        <f>COUNTIF('Students Social Media Addiction'!O:O,"High")/COUNTA(Table1[Student_ID])</f>
        <v>0.5787234042553191</v>
      </c>
      <c r="T662">
        <f>AVERAGE(Table1[Academic Impact Flag])</f>
        <v>0.64255319148936174</v>
      </c>
      <c r="U662">
        <f>AVERAGE(Table1[Sleep_Hours_Per_Night])</f>
        <v>6.868936170212768</v>
      </c>
      <c r="V662">
        <f>AVERAGE(Table1[Mental_Health_Score])</f>
        <v>6.2269503546099294</v>
      </c>
    </row>
    <row r="663" spans="1:22" x14ac:dyDescent="0.3">
      <c r="A663">
        <v>662</v>
      </c>
      <c r="B663">
        <v>24</v>
      </c>
      <c r="C663" t="s">
        <v>18</v>
      </c>
      <c r="D663" t="s">
        <v>19</v>
      </c>
      <c r="E663" t="s">
        <v>24</v>
      </c>
      <c r="F663">
        <v>5.4</v>
      </c>
      <c r="G663" t="s">
        <v>21</v>
      </c>
      <c r="H663" t="s">
        <v>16</v>
      </c>
      <c r="I663">
        <v>6.8</v>
      </c>
      <c r="J663">
        <v>6</v>
      </c>
      <c r="K663" t="s">
        <v>17</v>
      </c>
      <c r="L663">
        <v>7</v>
      </c>
      <c r="M663" t="str">
        <f>IF(Table1[[#This Row],[Age]]&lt;=18,"Teen",IF(Table1[[#This Row],[Age]]&lt;=21,"Young Adult","Adult"))</f>
        <v>Adult</v>
      </c>
      <c r="N663" t="str">
        <f t="shared" si="50"/>
        <v>High</v>
      </c>
      <c r="O663" t="str">
        <f t="shared" si="51"/>
        <v>High</v>
      </c>
      <c r="P663" t="str">
        <f t="shared" si="52"/>
        <v>Average</v>
      </c>
      <c r="Q663">
        <f t="shared" si="53"/>
        <v>1</v>
      </c>
      <c r="R663" t="str">
        <f t="shared" si="54"/>
        <v>Average</v>
      </c>
      <c r="S663">
        <f>COUNTIF('Students Social Media Addiction'!O:O,"High")/COUNTA(Table1[Student_ID])</f>
        <v>0.5787234042553191</v>
      </c>
      <c r="T663">
        <f>AVERAGE(Table1[Academic Impact Flag])</f>
        <v>0.64255319148936174</v>
      </c>
      <c r="U663">
        <f>AVERAGE(Table1[Sleep_Hours_Per_Night])</f>
        <v>6.868936170212768</v>
      </c>
      <c r="V663">
        <f>AVERAGE(Table1[Mental_Health_Score])</f>
        <v>6.2269503546099294</v>
      </c>
    </row>
    <row r="664" spans="1:22" x14ac:dyDescent="0.3">
      <c r="A664">
        <v>663</v>
      </c>
      <c r="B664">
        <v>19</v>
      </c>
      <c r="C664" t="s">
        <v>12</v>
      </c>
      <c r="D664" t="s">
        <v>13</v>
      </c>
      <c r="E664" t="s">
        <v>42</v>
      </c>
      <c r="F664">
        <v>6.4</v>
      </c>
      <c r="G664" t="s">
        <v>25</v>
      </c>
      <c r="H664" t="s">
        <v>16</v>
      </c>
      <c r="I664">
        <v>6.2</v>
      </c>
      <c r="J664">
        <v>5</v>
      </c>
      <c r="K664" t="s">
        <v>23</v>
      </c>
      <c r="L664">
        <v>8</v>
      </c>
      <c r="M664" t="str">
        <f>IF(Table1[[#This Row],[Age]]&lt;=18,"Teen",IF(Table1[[#This Row],[Age]]&lt;=21,"Young Adult","Adult"))</f>
        <v>Young Adult</v>
      </c>
      <c r="N664" t="str">
        <f t="shared" si="50"/>
        <v>Very High</v>
      </c>
      <c r="O664" t="str">
        <f t="shared" si="51"/>
        <v>High</v>
      </c>
      <c r="P664" t="str">
        <f t="shared" si="52"/>
        <v>Average</v>
      </c>
      <c r="Q664">
        <f t="shared" si="53"/>
        <v>1</v>
      </c>
      <c r="R664" t="str">
        <f t="shared" si="54"/>
        <v>Average</v>
      </c>
      <c r="S664">
        <f>COUNTIF('Students Social Media Addiction'!O:O,"High")/COUNTA(Table1[Student_ID])</f>
        <v>0.5787234042553191</v>
      </c>
      <c r="T664">
        <f>AVERAGE(Table1[Academic Impact Flag])</f>
        <v>0.64255319148936174</v>
      </c>
      <c r="U664">
        <f>AVERAGE(Table1[Sleep_Hours_Per_Night])</f>
        <v>6.868936170212768</v>
      </c>
      <c r="V664">
        <f>AVERAGE(Table1[Mental_Health_Score])</f>
        <v>6.2269503546099294</v>
      </c>
    </row>
    <row r="665" spans="1:22" x14ac:dyDescent="0.3">
      <c r="A665">
        <v>664</v>
      </c>
      <c r="B665">
        <v>22</v>
      </c>
      <c r="C665" t="s">
        <v>18</v>
      </c>
      <c r="D665" t="s">
        <v>19</v>
      </c>
      <c r="E665" t="s">
        <v>39</v>
      </c>
      <c r="F665">
        <v>4.7</v>
      </c>
      <c r="G665" t="s">
        <v>31</v>
      </c>
      <c r="H665" t="s">
        <v>22</v>
      </c>
      <c r="I665">
        <v>7.2</v>
      </c>
      <c r="J665">
        <v>7</v>
      </c>
      <c r="K665" t="s">
        <v>17</v>
      </c>
      <c r="L665">
        <v>5</v>
      </c>
      <c r="M665" t="str">
        <f>IF(Table1[[#This Row],[Age]]&lt;=18,"Teen",IF(Table1[[#This Row],[Age]]&lt;=21,"Young Adult","Adult"))</f>
        <v>Adult</v>
      </c>
      <c r="N665" t="str">
        <f t="shared" si="50"/>
        <v>High</v>
      </c>
      <c r="O665" t="str">
        <f t="shared" si="51"/>
        <v>Medium</v>
      </c>
      <c r="P665" t="str">
        <f t="shared" si="52"/>
        <v>Healthy</v>
      </c>
      <c r="Q665">
        <f t="shared" si="53"/>
        <v>0</v>
      </c>
      <c r="R665" t="str">
        <f t="shared" si="54"/>
        <v>Good</v>
      </c>
      <c r="S665">
        <f>COUNTIF('Students Social Media Addiction'!O:O,"High")/COUNTA(Table1[Student_ID])</f>
        <v>0.5787234042553191</v>
      </c>
      <c r="T665">
        <f>AVERAGE(Table1[Academic Impact Flag])</f>
        <v>0.64255319148936174</v>
      </c>
      <c r="U665">
        <f>AVERAGE(Table1[Sleep_Hours_Per_Night])</f>
        <v>6.868936170212768</v>
      </c>
      <c r="V665">
        <f>AVERAGE(Table1[Mental_Health_Score])</f>
        <v>6.2269503546099294</v>
      </c>
    </row>
    <row r="666" spans="1:22" x14ac:dyDescent="0.3">
      <c r="A666">
        <v>665</v>
      </c>
      <c r="B666">
        <v>20</v>
      </c>
      <c r="C666" t="s">
        <v>12</v>
      </c>
      <c r="D666" t="s">
        <v>13</v>
      </c>
      <c r="E666" t="s">
        <v>30</v>
      </c>
      <c r="F666">
        <v>5.6</v>
      </c>
      <c r="G666" t="s">
        <v>15</v>
      </c>
      <c r="H666" t="s">
        <v>16</v>
      </c>
      <c r="I666">
        <v>6.7</v>
      </c>
      <c r="J666">
        <v>6</v>
      </c>
      <c r="K666" t="s">
        <v>23</v>
      </c>
      <c r="L666">
        <v>7</v>
      </c>
      <c r="M666" t="str">
        <f>IF(Table1[[#This Row],[Age]]&lt;=18,"Teen",IF(Table1[[#This Row],[Age]]&lt;=21,"Young Adult","Adult"))</f>
        <v>Young Adult</v>
      </c>
      <c r="N666" t="str">
        <f t="shared" si="50"/>
        <v>High</v>
      </c>
      <c r="O666" t="str">
        <f t="shared" si="51"/>
        <v>High</v>
      </c>
      <c r="P666" t="str">
        <f t="shared" si="52"/>
        <v>Average</v>
      </c>
      <c r="Q666">
        <f t="shared" si="53"/>
        <v>1</v>
      </c>
      <c r="R666" t="str">
        <f t="shared" si="54"/>
        <v>Average</v>
      </c>
      <c r="S666">
        <f>COUNTIF('Students Social Media Addiction'!O:O,"High")/COUNTA(Table1[Student_ID])</f>
        <v>0.5787234042553191</v>
      </c>
      <c r="T666">
        <f>AVERAGE(Table1[Academic Impact Flag])</f>
        <v>0.64255319148936174</v>
      </c>
      <c r="U666">
        <f>AVERAGE(Table1[Sleep_Hours_Per_Night])</f>
        <v>6.868936170212768</v>
      </c>
      <c r="V666">
        <f>AVERAGE(Table1[Mental_Health_Score])</f>
        <v>6.2269503546099294</v>
      </c>
    </row>
    <row r="667" spans="1:22" x14ac:dyDescent="0.3">
      <c r="A667">
        <v>666</v>
      </c>
      <c r="B667">
        <v>23</v>
      </c>
      <c r="C667" t="s">
        <v>18</v>
      </c>
      <c r="D667" t="s">
        <v>19</v>
      </c>
      <c r="E667" t="s">
        <v>28</v>
      </c>
      <c r="F667">
        <v>6.3</v>
      </c>
      <c r="G667" t="s">
        <v>21</v>
      </c>
      <c r="H667" t="s">
        <v>16</v>
      </c>
      <c r="I667">
        <v>6.2</v>
      </c>
      <c r="J667">
        <v>5</v>
      </c>
      <c r="K667" t="s">
        <v>23</v>
      </c>
      <c r="L667">
        <v>8</v>
      </c>
      <c r="M667" t="str">
        <f>IF(Table1[[#This Row],[Age]]&lt;=18,"Teen",IF(Table1[[#This Row],[Age]]&lt;=21,"Young Adult","Adult"))</f>
        <v>Adult</v>
      </c>
      <c r="N667" t="str">
        <f t="shared" si="50"/>
        <v>Very High</v>
      </c>
      <c r="O667" t="str">
        <f t="shared" si="51"/>
        <v>High</v>
      </c>
      <c r="P667" t="str">
        <f t="shared" si="52"/>
        <v>Average</v>
      </c>
      <c r="Q667">
        <f t="shared" si="53"/>
        <v>1</v>
      </c>
      <c r="R667" t="str">
        <f t="shared" si="54"/>
        <v>Average</v>
      </c>
      <c r="S667">
        <f>COUNTIF('Students Social Media Addiction'!O:O,"High")/COUNTA(Table1[Student_ID])</f>
        <v>0.5787234042553191</v>
      </c>
      <c r="T667">
        <f>AVERAGE(Table1[Academic Impact Flag])</f>
        <v>0.64255319148936174</v>
      </c>
      <c r="U667">
        <f>AVERAGE(Table1[Sleep_Hours_Per_Night])</f>
        <v>6.868936170212768</v>
      </c>
      <c r="V667">
        <f>AVERAGE(Table1[Mental_Health_Score])</f>
        <v>6.2269503546099294</v>
      </c>
    </row>
    <row r="668" spans="1:22" x14ac:dyDescent="0.3">
      <c r="A668">
        <v>667</v>
      </c>
      <c r="B668">
        <v>21</v>
      </c>
      <c r="C668" t="s">
        <v>12</v>
      </c>
      <c r="D668" t="s">
        <v>13</v>
      </c>
      <c r="E668" t="s">
        <v>41</v>
      </c>
      <c r="F668">
        <v>4.8</v>
      </c>
      <c r="G668" t="s">
        <v>25</v>
      </c>
      <c r="H668" t="s">
        <v>22</v>
      </c>
      <c r="I668">
        <v>7.1</v>
      </c>
      <c r="J668">
        <v>7</v>
      </c>
      <c r="K668" t="s">
        <v>17</v>
      </c>
      <c r="L668">
        <v>5</v>
      </c>
      <c r="M668" t="str">
        <f>IF(Table1[[#This Row],[Age]]&lt;=18,"Teen",IF(Table1[[#This Row],[Age]]&lt;=21,"Young Adult","Adult"))</f>
        <v>Young Adult</v>
      </c>
      <c r="N668" t="str">
        <f t="shared" si="50"/>
        <v>High</v>
      </c>
      <c r="O668" t="str">
        <f t="shared" si="51"/>
        <v>Medium</v>
      </c>
      <c r="P668" t="str">
        <f t="shared" si="52"/>
        <v>Healthy</v>
      </c>
      <c r="Q668">
        <f t="shared" si="53"/>
        <v>0</v>
      </c>
      <c r="R668" t="str">
        <f t="shared" si="54"/>
        <v>Good</v>
      </c>
      <c r="S668">
        <f>COUNTIF('Students Social Media Addiction'!O:O,"High")/COUNTA(Table1[Student_ID])</f>
        <v>0.5787234042553191</v>
      </c>
      <c r="T668">
        <f>AVERAGE(Table1[Academic Impact Flag])</f>
        <v>0.64255319148936174</v>
      </c>
      <c r="U668">
        <f>AVERAGE(Table1[Sleep_Hours_Per_Night])</f>
        <v>6.868936170212768</v>
      </c>
      <c r="V668">
        <f>AVERAGE(Table1[Mental_Health_Score])</f>
        <v>6.2269503546099294</v>
      </c>
    </row>
    <row r="669" spans="1:22" x14ac:dyDescent="0.3">
      <c r="A669">
        <v>668</v>
      </c>
      <c r="B669">
        <v>24</v>
      </c>
      <c r="C669" t="s">
        <v>18</v>
      </c>
      <c r="D669" t="s">
        <v>19</v>
      </c>
      <c r="E669" t="s">
        <v>43</v>
      </c>
      <c r="F669">
        <v>6.9</v>
      </c>
      <c r="G669" t="s">
        <v>15</v>
      </c>
      <c r="H669" t="s">
        <v>16</v>
      </c>
      <c r="I669">
        <v>5.9</v>
      </c>
      <c r="J669">
        <v>4</v>
      </c>
      <c r="K669" t="s">
        <v>23</v>
      </c>
      <c r="L669">
        <v>9</v>
      </c>
      <c r="M669" t="str">
        <f>IF(Table1[[#This Row],[Age]]&lt;=18,"Teen",IF(Table1[[#This Row],[Age]]&lt;=21,"Young Adult","Adult"))</f>
        <v>Adult</v>
      </c>
      <c r="N669" t="str">
        <f t="shared" si="50"/>
        <v>Very High</v>
      </c>
      <c r="O669" t="str">
        <f t="shared" si="51"/>
        <v>High</v>
      </c>
      <c r="P669" t="str">
        <f t="shared" si="52"/>
        <v>Poor</v>
      </c>
      <c r="Q669">
        <f t="shared" si="53"/>
        <v>1</v>
      </c>
      <c r="R669" t="str">
        <f t="shared" si="54"/>
        <v>Poor</v>
      </c>
      <c r="S669">
        <f>COUNTIF('Students Social Media Addiction'!O:O,"High")/COUNTA(Table1[Student_ID])</f>
        <v>0.5787234042553191</v>
      </c>
      <c r="T669">
        <f>AVERAGE(Table1[Academic Impact Flag])</f>
        <v>0.64255319148936174</v>
      </c>
      <c r="U669">
        <f>AVERAGE(Table1[Sleep_Hours_Per_Night])</f>
        <v>6.868936170212768</v>
      </c>
      <c r="V669">
        <f>AVERAGE(Table1[Mental_Health_Score])</f>
        <v>6.2269503546099294</v>
      </c>
    </row>
    <row r="670" spans="1:22" x14ac:dyDescent="0.3">
      <c r="A670">
        <v>669</v>
      </c>
      <c r="B670">
        <v>19</v>
      </c>
      <c r="C670" t="s">
        <v>12</v>
      </c>
      <c r="D670" t="s">
        <v>13</v>
      </c>
      <c r="E670" t="s">
        <v>44</v>
      </c>
      <c r="F670">
        <v>5.7</v>
      </c>
      <c r="G670" t="s">
        <v>143</v>
      </c>
      <c r="H670" t="s">
        <v>16</v>
      </c>
      <c r="I670">
        <v>6.7</v>
      </c>
      <c r="J670">
        <v>6</v>
      </c>
      <c r="K670" t="s">
        <v>17</v>
      </c>
      <c r="L670">
        <v>7</v>
      </c>
      <c r="M670" t="str">
        <f>IF(Table1[[#This Row],[Age]]&lt;=18,"Teen",IF(Table1[[#This Row],[Age]]&lt;=21,"Young Adult","Adult"))</f>
        <v>Young Adult</v>
      </c>
      <c r="N670" t="str">
        <f t="shared" si="50"/>
        <v>High</v>
      </c>
      <c r="O670" t="str">
        <f t="shared" si="51"/>
        <v>High</v>
      </c>
      <c r="P670" t="str">
        <f t="shared" si="52"/>
        <v>Average</v>
      </c>
      <c r="Q670">
        <f t="shared" si="53"/>
        <v>1</v>
      </c>
      <c r="R670" t="str">
        <f t="shared" si="54"/>
        <v>Average</v>
      </c>
      <c r="S670">
        <f>COUNTIF('Students Social Media Addiction'!O:O,"High")/COUNTA(Table1[Student_ID])</f>
        <v>0.5787234042553191</v>
      </c>
      <c r="T670">
        <f>AVERAGE(Table1[Academic Impact Flag])</f>
        <v>0.64255319148936174</v>
      </c>
      <c r="U670">
        <f>AVERAGE(Table1[Sleep_Hours_Per_Night])</f>
        <v>6.868936170212768</v>
      </c>
      <c r="V670">
        <f>AVERAGE(Table1[Mental_Health_Score])</f>
        <v>6.2269503546099294</v>
      </c>
    </row>
    <row r="671" spans="1:22" x14ac:dyDescent="0.3">
      <c r="A671">
        <v>670</v>
      </c>
      <c r="B671">
        <v>22</v>
      </c>
      <c r="C671" t="s">
        <v>18</v>
      </c>
      <c r="D671" t="s">
        <v>19</v>
      </c>
      <c r="E671" t="s">
        <v>37</v>
      </c>
      <c r="F671">
        <v>4.4000000000000004</v>
      </c>
      <c r="G671" t="s">
        <v>21</v>
      </c>
      <c r="H671" t="s">
        <v>22</v>
      </c>
      <c r="I671">
        <v>7.4</v>
      </c>
      <c r="J671">
        <v>8</v>
      </c>
      <c r="K671" t="s">
        <v>23</v>
      </c>
      <c r="L671">
        <v>4</v>
      </c>
      <c r="M671" t="str">
        <f>IF(Table1[[#This Row],[Age]]&lt;=18,"Teen",IF(Table1[[#This Row],[Age]]&lt;=21,"Young Adult","Adult"))</f>
        <v>Adult</v>
      </c>
      <c r="N671" t="str">
        <f t="shared" si="50"/>
        <v>High</v>
      </c>
      <c r="O671" t="str">
        <f t="shared" si="51"/>
        <v>Medium</v>
      </c>
      <c r="P671" t="str">
        <f t="shared" si="52"/>
        <v>Healthy</v>
      </c>
      <c r="Q671">
        <f t="shared" si="53"/>
        <v>0</v>
      </c>
      <c r="R671" t="str">
        <f t="shared" si="54"/>
        <v>Good</v>
      </c>
      <c r="S671">
        <f>COUNTIF('Students Social Media Addiction'!O:O,"High")/COUNTA(Table1[Student_ID])</f>
        <v>0.5787234042553191</v>
      </c>
      <c r="T671">
        <f>AVERAGE(Table1[Academic Impact Flag])</f>
        <v>0.64255319148936174</v>
      </c>
      <c r="U671">
        <f>AVERAGE(Table1[Sleep_Hours_Per_Night])</f>
        <v>6.868936170212768</v>
      </c>
      <c r="V671">
        <f>AVERAGE(Table1[Mental_Health_Score])</f>
        <v>6.2269503546099294</v>
      </c>
    </row>
    <row r="672" spans="1:22" x14ac:dyDescent="0.3">
      <c r="A672">
        <v>671</v>
      </c>
      <c r="B672">
        <v>20</v>
      </c>
      <c r="C672" t="s">
        <v>12</v>
      </c>
      <c r="D672" t="s">
        <v>13</v>
      </c>
      <c r="E672" t="s">
        <v>89</v>
      </c>
      <c r="F672">
        <v>6.1</v>
      </c>
      <c r="G672" t="s">
        <v>31</v>
      </c>
      <c r="H672" t="s">
        <v>16</v>
      </c>
      <c r="I672">
        <v>6.4</v>
      </c>
      <c r="J672">
        <v>5</v>
      </c>
      <c r="K672" t="s">
        <v>23</v>
      </c>
      <c r="L672">
        <v>8</v>
      </c>
      <c r="M672" t="str">
        <f>IF(Table1[[#This Row],[Age]]&lt;=18,"Teen",IF(Table1[[#This Row],[Age]]&lt;=21,"Young Adult","Adult"))</f>
        <v>Young Adult</v>
      </c>
      <c r="N672" t="str">
        <f t="shared" si="50"/>
        <v>Very High</v>
      </c>
      <c r="O672" t="str">
        <f t="shared" si="51"/>
        <v>High</v>
      </c>
      <c r="P672" t="str">
        <f t="shared" si="52"/>
        <v>Average</v>
      </c>
      <c r="Q672">
        <f t="shared" si="53"/>
        <v>1</v>
      </c>
      <c r="R672" t="str">
        <f t="shared" si="54"/>
        <v>Average</v>
      </c>
      <c r="S672">
        <f>COUNTIF('Students Social Media Addiction'!O:O,"High")/COUNTA(Table1[Student_ID])</f>
        <v>0.5787234042553191</v>
      </c>
      <c r="T672">
        <f>AVERAGE(Table1[Academic Impact Flag])</f>
        <v>0.64255319148936174</v>
      </c>
      <c r="U672">
        <f>AVERAGE(Table1[Sleep_Hours_Per_Night])</f>
        <v>6.868936170212768</v>
      </c>
      <c r="V672">
        <f>AVERAGE(Table1[Mental_Health_Score])</f>
        <v>6.2269503546099294</v>
      </c>
    </row>
    <row r="673" spans="1:22" x14ac:dyDescent="0.3">
      <c r="A673">
        <v>672</v>
      </c>
      <c r="B673">
        <v>23</v>
      </c>
      <c r="C673" t="s">
        <v>18</v>
      </c>
      <c r="D673" t="s">
        <v>19</v>
      </c>
      <c r="E673" t="s">
        <v>88</v>
      </c>
      <c r="F673">
        <v>4.3</v>
      </c>
      <c r="G673" t="s">
        <v>15</v>
      </c>
      <c r="H673" t="s">
        <v>22</v>
      </c>
      <c r="I673">
        <v>7.5</v>
      </c>
      <c r="J673">
        <v>7</v>
      </c>
      <c r="K673" t="s">
        <v>17</v>
      </c>
      <c r="L673">
        <v>5</v>
      </c>
      <c r="M673" t="str">
        <f>IF(Table1[[#This Row],[Age]]&lt;=18,"Teen",IF(Table1[[#This Row],[Age]]&lt;=21,"Young Adult","Adult"))</f>
        <v>Adult</v>
      </c>
      <c r="N673" t="str">
        <f t="shared" si="50"/>
        <v>High</v>
      </c>
      <c r="O673" t="str">
        <f t="shared" si="51"/>
        <v>Medium</v>
      </c>
      <c r="P673" t="str">
        <f t="shared" si="52"/>
        <v>Healthy</v>
      </c>
      <c r="Q673">
        <f t="shared" si="53"/>
        <v>0</v>
      </c>
      <c r="R673" t="str">
        <f t="shared" si="54"/>
        <v>Good</v>
      </c>
      <c r="S673">
        <f>COUNTIF('Students Social Media Addiction'!O:O,"High")/COUNTA(Table1[Student_ID])</f>
        <v>0.5787234042553191</v>
      </c>
      <c r="T673">
        <f>AVERAGE(Table1[Academic Impact Flag])</f>
        <v>0.64255319148936174</v>
      </c>
      <c r="U673">
        <f>AVERAGE(Table1[Sleep_Hours_Per_Night])</f>
        <v>6.868936170212768</v>
      </c>
      <c r="V673">
        <f>AVERAGE(Table1[Mental_Health_Score])</f>
        <v>6.2269503546099294</v>
      </c>
    </row>
    <row r="674" spans="1:22" x14ac:dyDescent="0.3">
      <c r="A674">
        <v>673</v>
      </c>
      <c r="B674">
        <v>21</v>
      </c>
      <c r="C674" t="s">
        <v>12</v>
      </c>
      <c r="D674" t="s">
        <v>13</v>
      </c>
      <c r="E674" t="s">
        <v>40</v>
      </c>
      <c r="F674">
        <v>6.4</v>
      </c>
      <c r="G674" t="s">
        <v>25</v>
      </c>
      <c r="H674" t="s">
        <v>16</v>
      </c>
      <c r="I674">
        <v>6.2</v>
      </c>
      <c r="J674">
        <v>5</v>
      </c>
      <c r="K674" t="s">
        <v>23</v>
      </c>
      <c r="L674">
        <v>8</v>
      </c>
      <c r="M674" t="str">
        <f>IF(Table1[[#This Row],[Age]]&lt;=18,"Teen",IF(Table1[[#This Row],[Age]]&lt;=21,"Young Adult","Adult"))</f>
        <v>Young Adult</v>
      </c>
      <c r="N674" t="str">
        <f t="shared" si="50"/>
        <v>Very High</v>
      </c>
      <c r="O674" t="str">
        <f t="shared" si="51"/>
        <v>High</v>
      </c>
      <c r="P674" t="str">
        <f t="shared" si="52"/>
        <v>Average</v>
      </c>
      <c r="Q674">
        <f t="shared" si="53"/>
        <v>1</v>
      </c>
      <c r="R674" t="str">
        <f t="shared" si="54"/>
        <v>Average</v>
      </c>
      <c r="S674">
        <f>COUNTIF('Students Social Media Addiction'!O:O,"High")/COUNTA(Table1[Student_ID])</f>
        <v>0.5787234042553191</v>
      </c>
      <c r="T674">
        <f>AVERAGE(Table1[Academic Impact Flag])</f>
        <v>0.64255319148936174</v>
      </c>
      <c r="U674">
        <f>AVERAGE(Table1[Sleep_Hours_Per_Night])</f>
        <v>6.868936170212768</v>
      </c>
      <c r="V674">
        <f>AVERAGE(Table1[Mental_Health_Score])</f>
        <v>6.2269503546099294</v>
      </c>
    </row>
    <row r="675" spans="1:22" x14ac:dyDescent="0.3">
      <c r="A675">
        <v>674</v>
      </c>
      <c r="B675">
        <v>24</v>
      </c>
      <c r="C675" t="s">
        <v>18</v>
      </c>
      <c r="D675" t="s">
        <v>19</v>
      </c>
      <c r="E675" t="s">
        <v>47</v>
      </c>
      <c r="F675">
        <v>4.5</v>
      </c>
      <c r="G675" t="s">
        <v>21</v>
      </c>
      <c r="H675" t="s">
        <v>22</v>
      </c>
      <c r="I675">
        <v>7.3</v>
      </c>
      <c r="J675">
        <v>7</v>
      </c>
      <c r="K675" t="s">
        <v>17</v>
      </c>
      <c r="L675">
        <v>5</v>
      </c>
      <c r="M675" t="str">
        <f>IF(Table1[[#This Row],[Age]]&lt;=18,"Teen",IF(Table1[[#This Row],[Age]]&lt;=21,"Young Adult","Adult"))</f>
        <v>Adult</v>
      </c>
      <c r="N675" t="str">
        <f t="shared" si="50"/>
        <v>High</v>
      </c>
      <c r="O675" t="str">
        <f t="shared" si="51"/>
        <v>Medium</v>
      </c>
      <c r="P675" t="str">
        <f t="shared" si="52"/>
        <v>Healthy</v>
      </c>
      <c r="Q675">
        <f t="shared" si="53"/>
        <v>0</v>
      </c>
      <c r="R675" t="str">
        <f t="shared" si="54"/>
        <v>Good</v>
      </c>
      <c r="S675">
        <f>COUNTIF('Students Social Media Addiction'!O:O,"High")/COUNTA(Table1[Student_ID])</f>
        <v>0.5787234042553191</v>
      </c>
      <c r="T675">
        <f>AVERAGE(Table1[Academic Impact Flag])</f>
        <v>0.64255319148936174</v>
      </c>
      <c r="U675">
        <f>AVERAGE(Table1[Sleep_Hours_Per_Night])</f>
        <v>6.868936170212768</v>
      </c>
      <c r="V675">
        <f>AVERAGE(Table1[Mental_Health_Score])</f>
        <v>6.2269503546099294</v>
      </c>
    </row>
    <row r="676" spans="1:22" x14ac:dyDescent="0.3">
      <c r="A676">
        <v>675</v>
      </c>
      <c r="B676">
        <v>19</v>
      </c>
      <c r="C676" t="s">
        <v>12</v>
      </c>
      <c r="D676" t="s">
        <v>13</v>
      </c>
      <c r="E676" t="s">
        <v>54</v>
      </c>
      <c r="F676">
        <v>5.9</v>
      </c>
      <c r="G676" t="s">
        <v>15</v>
      </c>
      <c r="H676" t="s">
        <v>16</v>
      </c>
      <c r="I676">
        <v>6.5</v>
      </c>
      <c r="J676">
        <v>6</v>
      </c>
      <c r="K676" t="s">
        <v>23</v>
      </c>
      <c r="L676">
        <v>7</v>
      </c>
      <c r="M676" t="str">
        <f>IF(Table1[[#This Row],[Age]]&lt;=18,"Teen",IF(Table1[[#This Row],[Age]]&lt;=21,"Young Adult","Adult"))</f>
        <v>Young Adult</v>
      </c>
      <c r="N676" t="str">
        <f t="shared" si="50"/>
        <v>High</v>
      </c>
      <c r="O676" t="str">
        <f t="shared" si="51"/>
        <v>High</v>
      </c>
      <c r="P676" t="str">
        <f t="shared" si="52"/>
        <v>Average</v>
      </c>
      <c r="Q676">
        <f t="shared" si="53"/>
        <v>1</v>
      </c>
      <c r="R676" t="str">
        <f t="shared" si="54"/>
        <v>Average</v>
      </c>
      <c r="S676">
        <f>COUNTIF('Students Social Media Addiction'!O:O,"High")/COUNTA(Table1[Student_ID])</f>
        <v>0.5787234042553191</v>
      </c>
      <c r="T676">
        <f>AVERAGE(Table1[Academic Impact Flag])</f>
        <v>0.64255319148936174</v>
      </c>
      <c r="U676">
        <f>AVERAGE(Table1[Sleep_Hours_Per_Night])</f>
        <v>6.868936170212768</v>
      </c>
      <c r="V676">
        <f>AVERAGE(Table1[Mental_Health_Score])</f>
        <v>6.2269503546099294</v>
      </c>
    </row>
    <row r="677" spans="1:22" x14ac:dyDescent="0.3">
      <c r="A677">
        <v>676</v>
      </c>
      <c r="B677">
        <v>22</v>
      </c>
      <c r="C677" t="s">
        <v>18</v>
      </c>
      <c r="D677" t="s">
        <v>19</v>
      </c>
      <c r="E677" t="s">
        <v>20</v>
      </c>
      <c r="F677">
        <v>7.2</v>
      </c>
      <c r="G677" t="s">
        <v>31</v>
      </c>
      <c r="H677" t="s">
        <v>16</v>
      </c>
      <c r="I677">
        <v>5.7</v>
      </c>
      <c r="J677">
        <v>4</v>
      </c>
      <c r="K677" t="s">
        <v>23</v>
      </c>
      <c r="L677">
        <v>9</v>
      </c>
      <c r="M677" t="str">
        <f>IF(Table1[[#This Row],[Age]]&lt;=18,"Teen",IF(Table1[[#This Row],[Age]]&lt;=21,"Young Adult","Adult"))</f>
        <v>Adult</v>
      </c>
      <c r="N677" t="str">
        <f t="shared" si="50"/>
        <v>Very High</v>
      </c>
      <c r="O677" t="str">
        <f t="shared" si="51"/>
        <v>High</v>
      </c>
      <c r="P677" t="str">
        <f t="shared" si="52"/>
        <v>Poor</v>
      </c>
      <c r="Q677">
        <f t="shared" si="53"/>
        <v>1</v>
      </c>
      <c r="R677" t="str">
        <f t="shared" si="54"/>
        <v>Poor</v>
      </c>
      <c r="S677">
        <f>COUNTIF('Students Social Media Addiction'!O:O,"High")/COUNTA(Table1[Student_ID])</f>
        <v>0.5787234042553191</v>
      </c>
      <c r="T677">
        <f>AVERAGE(Table1[Academic Impact Flag])</f>
        <v>0.64255319148936174</v>
      </c>
      <c r="U677">
        <f>AVERAGE(Table1[Sleep_Hours_Per_Night])</f>
        <v>6.868936170212768</v>
      </c>
      <c r="V677">
        <f>AVERAGE(Table1[Mental_Health_Score])</f>
        <v>6.2269503546099294</v>
      </c>
    </row>
    <row r="678" spans="1:22" x14ac:dyDescent="0.3">
      <c r="A678">
        <v>677</v>
      </c>
      <c r="B678">
        <v>20</v>
      </c>
      <c r="C678" t="s">
        <v>12</v>
      </c>
      <c r="D678" t="s">
        <v>13</v>
      </c>
      <c r="E678" t="s">
        <v>50</v>
      </c>
      <c r="F678">
        <v>4.5999999999999996</v>
      </c>
      <c r="G678" t="s">
        <v>25</v>
      </c>
      <c r="H678" t="s">
        <v>22</v>
      </c>
      <c r="I678">
        <v>7.2</v>
      </c>
      <c r="J678">
        <v>7</v>
      </c>
      <c r="K678" t="s">
        <v>17</v>
      </c>
      <c r="L678">
        <v>5</v>
      </c>
      <c r="M678" t="str">
        <f>IF(Table1[[#This Row],[Age]]&lt;=18,"Teen",IF(Table1[[#This Row],[Age]]&lt;=21,"Young Adult","Adult"))</f>
        <v>Young Adult</v>
      </c>
      <c r="N678" t="str">
        <f t="shared" si="50"/>
        <v>High</v>
      </c>
      <c r="O678" t="str">
        <f t="shared" si="51"/>
        <v>Medium</v>
      </c>
      <c r="P678" t="str">
        <f t="shared" si="52"/>
        <v>Healthy</v>
      </c>
      <c r="Q678">
        <f t="shared" si="53"/>
        <v>0</v>
      </c>
      <c r="R678" t="str">
        <f t="shared" si="54"/>
        <v>Good</v>
      </c>
      <c r="S678">
        <f>COUNTIF('Students Social Media Addiction'!O:O,"High")/COUNTA(Table1[Student_ID])</f>
        <v>0.5787234042553191</v>
      </c>
      <c r="T678">
        <f>AVERAGE(Table1[Academic Impact Flag])</f>
        <v>0.64255319148936174</v>
      </c>
      <c r="U678">
        <f>AVERAGE(Table1[Sleep_Hours_Per_Night])</f>
        <v>6.868936170212768</v>
      </c>
      <c r="V678">
        <f>AVERAGE(Table1[Mental_Health_Score])</f>
        <v>6.2269503546099294</v>
      </c>
    </row>
    <row r="679" spans="1:22" x14ac:dyDescent="0.3">
      <c r="A679">
        <v>678</v>
      </c>
      <c r="B679">
        <v>23</v>
      </c>
      <c r="C679" t="s">
        <v>18</v>
      </c>
      <c r="D679" t="s">
        <v>19</v>
      </c>
      <c r="E679" t="s">
        <v>64</v>
      </c>
      <c r="F679">
        <v>6.8</v>
      </c>
      <c r="G679" t="s">
        <v>15</v>
      </c>
      <c r="H679" t="s">
        <v>16</v>
      </c>
      <c r="I679">
        <v>6</v>
      </c>
      <c r="J679">
        <v>5</v>
      </c>
      <c r="K679" t="s">
        <v>23</v>
      </c>
      <c r="L679">
        <v>8</v>
      </c>
      <c r="M679" t="str">
        <f>IF(Table1[[#This Row],[Age]]&lt;=18,"Teen",IF(Table1[[#This Row],[Age]]&lt;=21,"Young Adult","Adult"))</f>
        <v>Adult</v>
      </c>
      <c r="N679" t="str">
        <f t="shared" si="50"/>
        <v>Very High</v>
      </c>
      <c r="O679" t="str">
        <f t="shared" si="51"/>
        <v>High</v>
      </c>
      <c r="P679" t="str">
        <f t="shared" si="52"/>
        <v>Average</v>
      </c>
      <c r="Q679">
        <f t="shared" si="53"/>
        <v>1</v>
      </c>
      <c r="R679" t="str">
        <f t="shared" si="54"/>
        <v>Average</v>
      </c>
      <c r="S679">
        <f>COUNTIF('Students Social Media Addiction'!O:O,"High")/COUNTA(Table1[Student_ID])</f>
        <v>0.5787234042553191</v>
      </c>
      <c r="T679">
        <f>AVERAGE(Table1[Academic Impact Flag])</f>
        <v>0.64255319148936174</v>
      </c>
      <c r="U679">
        <f>AVERAGE(Table1[Sleep_Hours_Per_Night])</f>
        <v>6.868936170212768</v>
      </c>
      <c r="V679">
        <f>AVERAGE(Table1[Mental_Health_Score])</f>
        <v>6.2269503546099294</v>
      </c>
    </row>
    <row r="680" spans="1:22" x14ac:dyDescent="0.3">
      <c r="A680">
        <v>679</v>
      </c>
      <c r="B680">
        <v>21</v>
      </c>
      <c r="C680" t="s">
        <v>12</v>
      </c>
      <c r="D680" t="s">
        <v>13</v>
      </c>
      <c r="E680" t="s">
        <v>24</v>
      </c>
      <c r="F680">
        <v>5.3</v>
      </c>
      <c r="G680" t="s">
        <v>21</v>
      </c>
      <c r="H680" t="s">
        <v>16</v>
      </c>
      <c r="I680">
        <v>6.8</v>
      </c>
      <c r="J680">
        <v>6</v>
      </c>
      <c r="K680" t="s">
        <v>17</v>
      </c>
      <c r="L680">
        <v>7</v>
      </c>
      <c r="M680" t="str">
        <f>IF(Table1[[#This Row],[Age]]&lt;=18,"Teen",IF(Table1[[#This Row],[Age]]&lt;=21,"Young Adult","Adult"))</f>
        <v>Young Adult</v>
      </c>
      <c r="N680" t="str">
        <f t="shared" si="50"/>
        <v>High</v>
      </c>
      <c r="O680" t="str">
        <f t="shared" si="51"/>
        <v>High</v>
      </c>
      <c r="P680" t="str">
        <f t="shared" si="52"/>
        <v>Average</v>
      </c>
      <c r="Q680">
        <f t="shared" si="53"/>
        <v>1</v>
      </c>
      <c r="R680" t="str">
        <f t="shared" si="54"/>
        <v>Average</v>
      </c>
      <c r="S680">
        <f>COUNTIF('Students Social Media Addiction'!O:O,"High")/COUNTA(Table1[Student_ID])</f>
        <v>0.5787234042553191</v>
      </c>
      <c r="T680">
        <f>AVERAGE(Table1[Academic Impact Flag])</f>
        <v>0.64255319148936174</v>
      </c>
      <c r="U680">
        <f>AVERAGE(Table1[Sleep_Hours_Per_Night])</f>
        <v>6.868936170212768</v>
      </c>
      <c r="V680">
        <f>AVERAGE(Table1[Mental_Health_Score])</f>
        <v>6.2269503546099294</v>
      </c>
    </row>
    <row r="681" spans="1:22" x14ac:dyDescent="0.3">
      <c r="A681">
        <v>680</v>
      </c>
      <c r="B681">
        <v>24</v>
      </c>
      <c r="C681" t="s">
        <v>18</v>
      </c>
      <c r="D681" t="s">
        <v>19</v>
      </c>
      <c r="E681" t="s">
        <v>42</v>
      </c>
      <c r="F681">
        <v>6.2</v>
      </c>
      <c r="G681" t="s">
        <v>31</v>
      </c>
      <c r="H681" t="s">
        <v>16</v>
      </c>
      <c r="I681">
        <v>6.3</v>
      </c>
      <c r="J681">
        <v>5</v>
      </c>
      <c r="K681" t="s">
        <v>23</v>
      </c>
      <c r="L681">
        <v>8</v>
      </c>
      <c r="M681" t="str">
        <f>IF(Table1[[#This Row],[Age]]&lt;=18,"Teen",IF(Table1[[#This Row],[Age]]&lt;=21,"Young Adult","Adult"))</f>
        <v>Adult</v>
      </c>
      <c r="N681" t="str">
        <f t="shared" si="50"/>
        <v>Very High</v>
      </c>
      <c r="O681" t="str">
        <f t="shared" si="51"/>
        <v>High</v>
      </c>
      <c r="P681" t="str">
        <f t="shared" si="52"/>
        <v>Average</v>
      </c>
      <c r="Q681">
        <f t="shared" si="53"/>
        <v>1</v>
      </c>
      <c r="R681" t="str">
        <f t="shared" si="54"/>
        <v>Average</v>
      </c>
      <c r="S681">
        <f>COUNTIF('Students Social Media Addiction'!O:O,"High")/COUNTA(Table1[Student_ID])</f>
        <v>0.5787234042553191</v>
      </c>
      <c r="T681">
        <f>AVERAGE(Table1[Academic Impact Flag])</f>
        <v>0.64255319148936174</v>
      </c>
      <c r="U681">
        <f>AVERAGE(Table1[Sleep_Hours_Per_Night])</f>
        <v>6.868936170212768</v>
      </c>
      <c r="V681">
        <f>AVERAGE(Table1[Mental_Health_Score])</f>
        <v>6.2269503546099294</v>
      </c>
    </row>
    <row r="682" spans="1:22" x14ac:dyDescent="0.3">
      <c r="A682">
        <v>681</v>
      </c>
      <c r="B682">
        <v>19</v>
      </c>
      <c r="C682" t="s">
        <v>12</v>
      </c>
      <c r="D682" t="s">
        <v>13</v>
      </c>
      <c r="E682" t="s">
        <v>39</v>
      </c>
      <c r="F682">
        <v>4.7</v>
      </c>
      <c r="G682" t="s">
        <v>15</v>
      </c>
      <c r="H682" t="s">
        <v>22</v>
      </c>
      <c r="I682">
        <v>7.2</v>
      </c>
      <c r="J682">
        <v>7</v>
      </c>
      <c r="K682" t="s">
        <v>17</v>
      </c>
      <c r="L682">
        <v>5</v>
      </c>
      <c r="M682" t="str">
        <f>IF(Table1[[#This Row],[Age]]&lt;=18,"Teen",IF(Table1[[#This Row],[Age]]&lt;=21,"Young Adult","Adult"))</f>
        <v>Young Adult</v>
      </c>
      <c r="N682" t="str">
        <f t="shared" si="50"/>
        <v>High</v>
      </c>
      <c r="O682" t="str">
        <f t="shared" si="51"/>
        <v>Medium</v>
      </c>
      <c r="P682" t="str">
        <f t="shared" si="52"/>
        <v>Healthy</v>
      </c>
      <c r="Q682">
        <f t="shared" si="53"/>
        <v>0</v>
      </c>
      <c r="R682" t="str">
        <f t="shared" si="54"/>
        <v>Good</v>
      </c>
      <c r="S682">
        <f>COUNTIF('Students Social Media Addiction'!O:O,"High")/COUNTA(Table1[Student_ID])</f>
        <v>0.5787234042553191</v>
      </c>
      <c r="T682">
        <f>AVERAGE(Table1[Academic Impact Flag])</f>
        <v>0.64255319148936174</v>
      </c>
      <c r="U682">
        <f>AVERAGE(Table1[Sleep_Hours_Per_Night])</f>
        <v>6.868936170212768</v>
      </c>
      <c r="V682">
        <f>AVERAGE(Table1[Mental_Health_Score])</f>
        <v>6.2269503546099294</v>
      </c>
    </row>
    <row r="683" spans="1:22" x14ac:dyDescent="0.3">
      <c r="A683">
        <v>682</v>
      </c>
      <c r="B683">
        <v>22</v>
      </c>
      <c r="C683" t="s">
        <v>18</v>
      </c>
      <c r="D683" t="s">
        <v>19</v>
      </c>
      <c r="E683" t="s">
        <v>30</v>
      </c>
      <c r="F683">
        <v>5.8</v>
      </c>
      <c r="G683" t="s">
        <v>25</v>
      </c>
      <c r="H683" t="s">
        <v>16</v>
      </c>
      <c r="I683">
        <v>6.6</v>
      </c>
      <c r="J683">
        <v>6</v>
      </c>
      <c r="K683" t="s">
        <v>23</v>
      </c>
      <c r="L683">
        <v>7</v>
      </c>
      <c r="M683" t="str">
        <f>IF(Table1[[#This Row],[Age]]&lt;=18,"Teen",IF(Table1[[#This Row],[Age]]&lt;=21,"Young Adult","Adult"))</f>
        <v>Adult</v>
      </c>
      <c r="N683" t="str">
        <f t="shared" si="50"/>
        <v>High</v>
      </c>
      <c r="O683" t="str">
        <f t="shared" si="51"/>
        <v>High</v>
      </c>
      <c r="P683" t="str">
        <f t="shared" si="52"/>
        <v>Average</v>
      </c>
      <c r="Q683">
        <f t="shared" si="53"/>
        <v>1</v>
      </c>
      <c r="R683" t="str">
        <f t="shared" si="54"/>
        <v>Average</v>
      </c>
      <c r="S683">
        <f>COUNTIF('Students Social Media Addiction'!O:O,"High")/COUNTA(Table1[Student_ID])</f>
        <v>0.5787234042553191</v>
      </c>
      <c r="T683">
        <f>AVERAGE(Table1[Academic Impact Flag])</f>
        <v>0.64255319148936174</v>
      </c>
      <c r="U683">
        <f>AVERAGE(Table1[Sleep_Hours_Per_Night])</f>
        <v>6.868936170212768</v>
      </c>
      <c r="V683">
        <f>AVERAGE(Table1[Mental_Health_Score])</f>
        <v>6.2269503546099294</v>
      </c>
    </row>
    <row r="684" spans="1:22" x14ac:dyDescent="0.3">
      <c r="A684">
        <v>683</v>
      </c>
      <c r="B684">
        <v>20</v>
      </c>
      <c r="C684" t="s">
        <v>12</v>
      </c>
      <c r="D684" t="s">
        <v>13</v>
      </c>
      <c r="E684" t="s">
        <v>28</v>
      </c>
      <c r="F684">
        <v>6.1</v>
      </c>
      <c r="G684" t="s">
        <v>21</v>
      </c>
      <c r="H684" t="s">
        <v>16</v>
      </c>
      <c r="I684">
        <v>6.4</v>
      </c>
      <c r="J684">
        <v>5</v>
      </c>
      <c r="K684" t="s">
        <v>23</v>
      </c>
      <c r="L684">
        <v>8</v>
      </c>
      <c r="M684" t="str">
        <f>IF(Table1[[#This Row],[Age]]&lt;=18,"Teen",IF(Table1[[#This Row],[Age]]&lt;=21,"Young Adult","Adult"))</f>
        <v>Young Adult</v>
      </c>
      <c r="N684" t="str">
        <f t="shared" si="50"/>
        <v>Very High</v>
      </c>
      <c r="O684" t="str">
        <f t="shared" si="51"/>
        <v>High</v>
      </c>
      <c r="P684" t="str">
        <f t="shared" si="52"/>
        <v>Average</v>
      </c>
      <c r="Q684">
        <f t="shared" si="53"/>
        <v>1</v>
      </c>
      <c r="R684" t="str">
        <f t="shared" si="54"/>
        <v>Average</v>
      </c>
      <c r="S684">
        <f>COUNTIF('Students Social Media Addiction'!O:O,"High")/COUNTA(Table1[Student_ID])</f>
        <v>0.5787234042553191</v>
      </c>
      <c r="T684">
        <f>AVERAGE(Table1[Academic Impact Flag])</f>
        <v>0.64255319148936174</v>
      </c>
      <c r="U684">
        <f>AVERAGE(Table1[Sleep_Hours_Per_Night])</f>
        <v>6.868936170212768</v>
      </c>
      <c r="V684">
        <f>AVERAGE(Table1[Mental_Health_Score])</f>
        <v>6.2269503546099294</v>
      </c>
    </row>
    <row r="685" spans="1:22" x14ac:dyDescent="0.3">
      <c r="A685">
        <v>684</v>
      </c>
      <c r="B685">
        <v>23</v>
      </c>
      <c r="C685" t="s">
        <v>18</v>
      </c>
      <c r="D685" t="s">
        <v>19</v>
      </c>
      <c r="E685" t="s">
        <v>41</v>
      </c>
      <c r="F685">
        <v>4.8</v>
      </c>
      <c r="G685" t="s">
        <v>31</v>
      </c>
      <c r="H685" t="s">
        <v>22</v>
      </c>
      <c r="I685">
        <v>7.1</v>
      </c>
      <c r="J685">
        <v>7</v>
      </c>
      <c r="K685" t="s">
        <v>17</v>
      </c>
      <c r="L685">
        <v>5</v>
      </c>
      <c r="M685" t="str">
        <f>IF(Table1[[#This Row],[Age]]&lt;=18,"Teen",IF(Table1[[#This Row],[Age]]&lt;=21,"Young Adult","Adult"))</f>
        <v>Adult</v>
      </c>
      <c r="N685" t="str">
        <f t="shared" si="50"/>
        <v>High</v>
      </c>
      <c r="O685" t="str">
        <f t="shared" si="51"/>
        <v>Medium</v>
      </c>
      <c r="P685" t="str">
        <f t="shared" si="52"/>
        <v>Healthy</v>
      </c>
      <c r="Q685">
        <f t="shared" si="53"/>
        <v>0</v>
      </c>
      <c r="R685" t="str">
        <f t="shared" si="54"/>
        <v>Good</v>
      </c>
      <c r="S685">
        <f>COUNTIF('Students Social Media Addiction'!O:O,"High")/COUNTA(Table1[Student_ID])</f>
        <v>0.5787234042553191</v>
      </c>
      <c r="T685">
        <f>AVERAGE(Table1[Academic Impact Flag])</f>
        <v>0.64255319148936174</v>
      </c>
      <c r="U685">
        <f>AVERAGE(Table1[Sleep_Hours_Per_Night])</f>
        <v>6.868936170212768</v>
      </c>
      <c r="V685">
        <f>AVERAGE(Table1[Mental_Health_Score])</f>
        <v>6.2269503546099294</v>
      </c>
    </row>
    <row r="686" spans="1:22" x14ac:dyDescent="0.3">
      <c r="A686">
        <v>685</v>
      </c>
      <c r="B686">
        <v>21</v>
      </c>
      <c r="C686" t="s">
        <v>12</v>
      </c>
      <c r="D686" t="s">
        <v>13</v>
      </c>
      <c r="E686" t="s">
        <v>43</v>
      </c>
      <c r="F686">
        <v>6.7</v>
      </c>
      <c r="G686" t="s">
        <v>15</v>
      </c>
      <c r="H686" t="s">
        <v>16</v>
      </c>
      <c r="I686">
        <v>6</v>
      </c>
      <c r="J686">
        <v>4</v>
      </c>
      <c r="K686" t="s">
        <v>23</v>
      </c>
      <c r="L686">
        <v>9</v>
      </c>
      <c r="M686" t="str">
        <f>IF(Table1[[#This Row],[Age]]&lt;=18,"Teen",IF(Table1[[#This Row],[Age]]&lt;=21,"Young Adult","Adult"))</f>
        <v>Young Adult</v>
      </c>
      <c r="N686" t="str">
        <f t="shared" si="50"/>
        <v>Very High</v>
      </c>
      <c r="O686" t="str">
        <f t="shared" si="51"/>
        <v>High</v>
      </c>
      <c r="P686" t="str">
        <f t="shared" si="52"/>
        <v>Average</v>
      </c>
      <c r="Q686">
        <f t="shared" si="53"/>
        <v>1</v>
      </c>
      <c r="R686" t="str">
        <f t="shared" si="54"/>
        <v>Poor</v>
      </c>
      <c r="S686">
        <f>COUNTIF('Students Social Media Addiction'!O:O,"High")/COUNTA(Table1[Student_ID])</f>
        <v>0.5787234042553191</v>
      </c>
      <c r="T686">
        <f>AVERAGE(Table1[Academic Impact Flag])</f>
        <v>0.64255319148936174</v>
      </c>
      <c r="U686">
        <f>AVERAGE(Table1[Sleep_Hours_Per_Night])</f>
        <v>6.868936170212768</v>
      </c>
      <c r="V686">
        <f>AVERAGE(Table1[Mental_Health_Score])</f>
        <v>6.2269503546099294</v>
      </c>
    </row>
    <row r="687" spans="1:22" x14ac:dyDescent="0.3">
      <c r="A687">
        <v>686</v>
      </c>
      <c r="B687">
        <v>24</v>
      </c>
      <c r="C687" t="s">
        <v>18</v>
      </c>
      <c r="D687" t="s">
        <v>19</v>
      </c>
      <c r="E687" t="s">
        <v>44</v>
      </c>
      <c r="F687">
        <v>5.5</v>
      </c>
      <c r="G687" t="s">
        <v>143</v>
      </c>
      <c r="H687" t="s">
        <v>16</v>
      </c>
      <c r="I687">
        <v>6.8</v>
      </c>
      <c r="J687">
        <v>6</v>
      </c>
      <c r="K687" t="s">
        <v>17</v>
      </c>
      <c r="L687">
        <v>7</v>
      </c>
      <c r="M687" t="str">
        <f>IF(Table1[[#This Row],[Age]]&lt;=18,"Teen",IF(Table1[[#This Row],[Age]]&lt;=21,"Young Adult","Adult"))</f>
        <v>Adult</v>
      </c>
      <c r="N687" t="str">
        <f t="shared" si="50"/>
        <v>High</v>
      </c>
      <c r="O687" t="str">
        <f t="shared" si="51"/>
        <v>High</v>
      </c>
      <c r="P687" t="str">
        <f t="shared" si="52"/>
        <v>Average</v>
      </c>
      <c r="Q687">
        <f t="shared" si="53"/>
        <v>1</v>
      </c>
      <c r="R687" t="str">
        <f t="shared" si="54"/>
        <v>Average</v>
      </c>
      <c r="S687">
        <f>COUNTIF('Students Social Media Addiction'!O:O,"High")/COUNTA(Table1[Student_ID])</f>
        <v>0.5787234042553191</v>
      </c>
      <c r="T687">
        <f>AVERAGE(Table1[Academic Impact Flag])</f>
        <v>0.64255319148936174</v>
      </c>
      <c r="U687">
        <f>AVERAGE(Table1[Sleep_Hours_Per_Night])</f>
        <v>6.868936170212768</v>
      </c>
      <c r="V687">
        <f>AVERAGE(Table1[Mental_Health_Score])</f>
        <v>6.2269503546099294</v>
      </c>
    </row>
    <row r="688" spans="1:22" x14ac:dyDescent="0.3">
      <c r="A688">
        <v>687</v>
      </c>
      <c r="B688">
        <v>19</v>
      </c>
      <c r="C688" t="s">
        <v>12</v>
      </c>
      <c r="D688" t="s">
        <v>13</v>
      </c>
      <c r="E688" t="s">
        <v>37</v>
      </c>
      <c r="F688">
        <v>4.2</v>
      </c>
      <c r="G688" t="s">
        <v>21</v>
      </c>
      <c r="H688" t="s">
        <v>22</v>
      </c>
      <c r="I688">
        <v>7.5</v>
      </c>
      <c r="J688">
        <v>8</v>
      </c>
      <c r="K688" t="s">
        <v>23</v>
      </c>
      <c r="L688">
        <v>4</v>
      </c>
      <c r="M688" t="str">
        <f>IF(Table1[[#This Row],[Age]]&lt;=18,"Teen",IF(Table1[[#This Row],[Age]]&lt;=21,"Young Adult","Adult"))</f>
        <v>Young Adult</v>
      </c>
      <c r="N688" t="str">
        <f t="shared" si="50"/>
        <v>High</v>
      </c>
      <c r="O688" t="str">
        <f t="shared" si="51"/>
        <v>Medium</v>
      </c>
      <c r="P688" t="str">
        <f t="shared" si="52"/>
        <v>Healthy</v>
      </c>
      <c r="Q688">
        <f t="shared" si="53"/>
        <v>0</v>
      </c>
      <c r="R688" t="str">
        <f t="shared" si="54"/>
        <v>Good</v>
      </c>
      <c r="S688">
        <f>COUNTIF('Students Social Media Addiction'!O:O,"High")/COUNTA(Table1[Student_ID])</f>
        <v>0.5787234042553191</v>
      </c>
      <c r="T688">
        <f>AVERAGE(Table1[Academic Impact Flag])</f>
        <v>0.64255319148936174</v>
      </c>
      <c r="U688">
        <f>AVERAGE(Table1[Sleep_Hours_Per_Night])</f>
        <v>6.868936170212768</v>
      </c>
      <c r="V688">
        <f>AVERAGE(Table1[Mental_Health_Score])</f>
        <v>6.2269503546099294</v>
      </c>
    </row>
    <row r="689" spans="1:22" x14ac:dyDescent="0.3">
      <c r="A689">
        <v>688</v>
      </c>
      <c r="B689">
        <v>22</v>
      </c>
      <c r="C689" t="s">
        <v>18</v>
      </c>
      <c r="D689" t="s">
        <v>19</v>
      </c>
      <c r="E689" t="s">
        <v>89</v>
      </c>
      <c r="F689">
        <v>6.3</v>
      </c>
      <c r="G689" t="s">
        <v>25</v>
      </c>
      <c r="H689" t="s">
        <v>16</v>
      </c>
      <c r="I689">
        <v>6.2</v>
      </c>
      <c r="J689">
        <v>5</v>
      </c>
      <c r="K689" t="s">
        <v>23</v>
      </c>
      <c r="L689">
        <v>8</v>
      </c>
      <c r="M689" t="str">
        <f>IF(Table1[[#This Row],[Age]]&lt;=18,"Teen",IF(Table1[[#This Row],[Age]]&lt;=21,"Young Adult","Adult"))</f>
        <v>Adult</v>
      </c>
      <c r="N689" t="str">
        <f t="shared" si="50"/>
        <v>Very High</v>
      </c>
      <c r="O689" t="str">
        <f t="shared" si="51"/>
        <v>High</v>
      </c>
      <c r="P689" t="str">
        <f t="shared" si="52"/>
        <v>Average</v>
      </c>
      <c r="Q689">
        <f t="shared" si="53"/>
        <v>1</v>
      </c>
      <c r="R689" t="str">
        <f t="shared" si="54"/>
        <v>Average</v>
      </c>
      <c r="S689">
        <f>COUNTIF('Students Social Media Addiction'!O:O,"High")/COUNTA(Table1[Student_ID])</f>
        <v>0.5787234042553191</v>
      </c>
      <c r="T689">
        <f>AVERAGE(Table1[Academic Impact Flag])</f>
        <v>0.64255319148936174</v>
      </c>
      <c r="U689">
        <f>AVERAGE(Table1[Sleep_Hours_Per_Night])</f>
        <v>6.868936170212768</v>
      </c>
      <c r="V689">
        <f>AVERAGE(Table1[Mental_Health_Score])</f>
        <v>6.2269503546099294</v>
      </c>
    </row>
    <row r="690" spans="1:22" x14ac:dyDescent="0.3">
      <c r="A690">
        <v>689</v>
      </c>
      <c r="B690">
        <v>20</v>
      </c>
      <c r="C690" t="s">
        <v>12</v>
      </c>
      <c r="D690" t="s">
        <v>13</v>
      </c>
      <c r="E690" t="s">
        <v>88</v>
      </c>
      <c r="F690">
        <v>4.4000000000000004</v>
      </c>
      <c r="G690" t="s">
        <v>15</v>
      </c>
      <c r="H690" t="s">
        <v>22</v>
      </c>
      <c r="I690">
        <v>7.4</v>
      </c>
      <c r="J690">
        <v>7</v>
      </c>
      <c r="K690" t="s">
        <v>17</v>
      </c>
      <c r="L690">
        <v>5</v>
      </c>
      <c r="M690" t="str">
        <f>IF(Table1[[#This Row],[Age]]&lt;=18,"Teen",IF(Table1[[#This Row],[Age]]&lt;=21,"Young Adult","Adult"))</f>
        <v>Young Adult</v>
      </c>
      <c r="N690" t="str">
        <f t="shared" si="50"/>
        <v>High</v>
      </c>
      <c r="O690" t="str">
        <f t="shared" si="51"/>
        <v>Medium</v>
      </c>
      <c r="P690" t="str">
        <f t="shared" si="52"/>
        <v>Healthy</v>
      </c>
      <c r="Q690">
        <f t="shared" si="53"/>
        <v>0</v>
      </c>
      <c r="R690" t="str">
        <f t="shared" si="54"/>
        <v>Good</v>
      </c>
      <c r="S690">
        <f>COUNTIF('Students Social Media Addiction'!O:O,"High")/COUNTA(Table1[Student_ID])</f>
        <v>0.5787234042553191</v>
      </c>
      <c r="T690">
        <f>AVERAGE(Table1[Academic Impact Flag])</f>
        <v>0.64255319148936174</v>
      </c>
      <c r="U690">
        <f>AVERAGE(Table1[Sleep_Hours_Per_Night])</f>
        <v>6.868936170212768</v>
      </c>
      <c r="V690">
        <f>AVERAGE(Table1[Mental_Health_Score])</f>
        <v>6.2269503546099294</v>
      </c>
    </row>
    <row r="691" spans="1:22" x14ac:dyDescent="0.3">
      <c r="A691">
        <v>690</v>
      </c>
      <c r="B691">
        <v>23</v>
      </c>
      <c r="C691" t="s">
        <v>18</v>
      </c>
      <c r="D691" t="s">
        <v>19</v>
      </c>
      <c r="E691" t="s">
        <v>40</v>
      </c>
      <c r="F691">
        <v>6.5</v>
      </c>
      <c r="G691" t="s">
        <v>31</v>
      </c>
      <c r="H691" t="s">
        <v>16</v>
      </c>
      <c r="I691">
        <v>6.1</v>
      </c>
      <c r="J691">
        <v>5</v>
      </c>
      <c r="K691" t="s">
        <v>23</v>
      </c>
      <c r="L691">
        <v>8</v>
      </c>
      <c r="M691" t="str">
        <f>IF(Table1[[#This Row],[Age]]&lt;=18,"Teen",IF(Table1[[#This Row],[Age]]&lt;=21,"Young Adult","Adult"))</f>
        <v>Adult</v>
      </c>
      <c r="N691" t="str">
        <f t="shared" si="50"/>
        <v>Very High</v>
      </c>
      <c r="O691" t="str">
        <f t="shared" si="51"/>
        <v>High</v>
      </c>
      <c r="P691" t="str">
        <f t="shared" si="52"/>
        <v>Average</v>
      </c>
      <c r="Q691">
        <f t="shared" si="53"/>
        <v>1</v>
      </c>
      <c r="R691" t="str">
        <f t="shared" si="54"/>
        <v>Average</v>
      </c>
      <c r="S691">
        <f>COUNTIF('Students Social Media Addiction'!O:O,"High")/COUNTA(Table1[Student_ID])</f>
        <v>0.5787234042553191</v>
      </c>
      <c r="T691">
        <f>AVERAGE(Table1[Academic Impact Flag])</f>
        <v>0.64255319148936174</v>
      </c>
      <c r="U691">
        <f>AVERAGE(Table1[Sleep_Hours_Per_Night])</f>
        <v>6.868936170212768</v>
      </c>
      <c r="V691">
        <f>AVERAGE(Table1[Mental_Health_Score])</f>
        <v>6.2269503546099294</v>
      </c>
    </row>
    <row r="692" spans="1:22" x14ac:dyDescent="0.3">
      <c r="A692">
        <v>691</v>
      </c>
      <c r="B692">
        <v>21</v>
      </c>
      <c r="C692" t="s">
        <v>12</v>
      </c>
      <c r="D692" t="s">
        <v>13</v>
      </c>
      <c r="E692" t="s">
        <v>47</v>
      </c>
      <c r="F692">
        <v>4.5999999999999996</v>
      </c>
      <c r="G692" t="s">
        <v>21</v>
      </c>
      <c r="H692" t="s">
        <v>22</v>
      </c>
      <c r="I692">
        <v>7.3</v>
      </c>
      <c r="J692">
        <v>7</v>
      </c>
      <c r="K692" t="s">
        <v>17</v>
      </c>
      <c r="L692">
        <v>5</v>
      </c>
      <c r="M692" t="str">
        <f>IF(Table1[[#This Row],[Age]]&lt;=18,"Teen",IF(Table1[[#This Row],[Age]]&lt;=21,"Young Adult","Adult"))</f>
        <v>Young Adult</v>
      </c>
      <c r="N692" t="str">
        <f t="shared" si="50"/>
        <v>High</v>
      </c>
      <c r="O692" t="str">
        <f t="shared" si="51"/>
        <v>Medium</v>
      </c>
      <c r="P692" t="str">
        <f t="shared" si="52"/>
        <v>Healthy</v>
      </c>
      <c r="Q692">
        <f t="shared" si="53"/>
        <v>0</v>
      </c>
      <c r="R692" t="str">
        <f t="shared" si="54"/>
        <v>Good</v>
      </c>
      <c r="S692">
        <f>COUNTIF('Students Social Media Addiction'!O:O,"High")/COUNTA(Table1[Student_ID])</f>
        <v>0.5787234042553191</v>
      </c>
      <c r="T692">
        <f>AVERAGE(Table1[Academic Impact Flag])</f>
        <v>0.64255319148936174</v>
      </c>
      <c r="U692">
        <f>AVERAGE(Table1[Sleep_Hours_Per_Night])</f>
        <v>6.868936170212768</v>
      </c>
      <c r="V692">
        <f>AVERAGE(Table1[Mental_Health_Score])</f>
        <v>6.2269503546099294</v>
      </c>
    </row>
    <row r="693" spans="1:22" x14ac:dyDescent="0.3">
      <c r="A693">
        <v>692</v>
      </c>
      <c r="B693">
        <v>24</v>
      </c>
      <c r="C693" t="s">
        <v>18</v>
      </c>
      <c r="D693" t="s">
        <v>19</v>
      </c>
      <c r="E693" t="s">
        <v>54</v>
      </c>
      <c r="F693">
        <v>5.9</v>
      </c>
      <c r="G693" t="s">
        <v>15</v>
      </c>
      <c r="H693" t="s">
        <v>16</v>
      </c>
      <c r="I693">
        <v>6.5</v>
      </c>
      <c r="J693">
        <v>6</v>
      </c>
      <c r="K693" t="s">
        <v>23</v>
      </c>
      <c r="L693">
        <v>7</v>
      </c>
      <c r="M693" t="str">
        <f>IF(Table1[[#This Row],[Age]]&lt;=18,"Teen",IF(Table1[[#This Row],[Age]]&lt;=21,"Young Adult","Adult"))</f>
        <v>Adult</v>
      </c>
      <c r="N693" t="str">
        <f t="shared" si="50"/>
        <v>High</v>
      </c>
      <c r="O693" t="str">
        <f t="shared" si="51"/>
        <v>High</v>
      </c>
      <c r="P693" t="str">
        <f t="shared" si="52"/>
        <v>Average</v>
      </c>
      <c r="Q693">
        <f t="shared" si="53"/>
        <v>1</v>
      </c>
      <c r="R693" t="str">
        <f t="shared" si="54"/>
        <v>Average</v>
      </c>
      <c r="S693">
        <f>COUNTIF('Students Social Media Addiction'!O:O,"High")/COUNTA(Table1[Student_ID])</f>
        <v>0.5787234042553191</v>
      </c>
      <c r="T693">
        <f>AVERAGE(Table1[Academic Impact Flag])</f>
        <v>0.64255319148936174</v>
      </c>
      <c r="U693">
        <f>AVERAGE(Table1[Sleep_Hours_Per_Night])</f>
        <v>6.868936170212768</v>
      </c>
      <c r="V693">
        <f>AVERAGE(Table1[Mental_Health_Score])</f>
        <v>6.2269503546099294</v>
      </c>
    </row>
    <row r="694" spans="1:22" x14ac:dyDescent="0.3">
      <c r="A694">
        <v>693</v>
      </c>
      <c r="B694">
        <v>19</v>
      </c>
      <c r="C694" t="s">
        <v>12</v>
      </c>
      <c r="D694" t="s">
        <v>13</v>
      </c>
      <c r="E694" t="s">
        <v>20</v>
      </c>
      <c r="F694">
        <v>7</v>
      </c>
      <c r="G694" t="s">
        <v>25</v>
      </c>
      <c r="H694" t="s">
        <v>16</v>
      </c>
      <c r="I694">
        <v>5.8</v>
      </c>
      <c r="J694">
        <v>4</v>
      </c>
      <c r="K694" t="s">
        <v>23</v>
      </c>
      <c r="L694">
        <v>9</v>
      </c>
      <c r="M694" t="str">
        <f>IF(Table1[[#This Row],[Age]]&lt;=18,"Teen",IF(Table1[[#This Row],[Age]]&lt;=21,"Young Adult","Adult"))</f>
        <v>Young Adult</v>
      </c>
      <c r="N694" t="str">
        <f t="shared" si="50"/>
        <v>Very High</v>
      </c>
      <c r="O694" t="str">
        <f t="shared" si="51"/>
        <v>High</v>
      </c>
      <c r="P694" t="str">
        <f t="shared" si="52"/>
        <v>Poor</v>
      </c>
      <c r="Q694">
        <f t="shared" si="53"/>
        <v>1</v>
      </c>
      <c r="R694" t="str">
        <f t="shared" si="54"/>
        <v>Poor</v>
      </c>
      <c r="S694">
        <f>COUNTIF('Students Social Media Addiction'!O:O,"High")/COUNTA(Table1[Student_ID])</f>
        <v>0.5787234042553191</v>
      </c>
      <c r="T694">
        <f>AVERAGE(Table1[Academic Impact Flag])</f>
        <v>0.64255319148936174</v>
      </c>
      <c r="U694">
        <f>AVERAGE(Table1[Sleep_Hours_Per_Night])</f>
        <v>6.868936170212768</v>
      </c>
      <c r="V694">
        <f>AVERAGE(Table1[Mental_Health_Score])</f>
        <v>6.2269503546099294</v>
      </c>
    </row>
    <row r="695" spans="1:22" x14ac:dyDescent="0.3">
      <c r="A695">
        <v>694</v>
      </c>
      <c r="B695">
        <v>22</v>
      </c>
      <c r="C695" t="s">
        <v>18</v>
      </c>
      <c r="D695" t="s">
        <v>19</v>
      </c>
      <c r="E695" t="s">
        <v>50</v>
      </c>
      <c r="F695">
        <v>4.5</v>
      </c>
      <c r="G695" t="s">
        <v>31</v>
      </c>
      <c r="H695" t="s">
        <v>22</v>
      </c>
      <c r="I695">
        <v>7.3</v>
      </c>
      <c r="J695">
        <v>7</v>
      </c>
      <c r="K695" t="s">
        <v>17</v>
      </c>
      <c r="L695">
        <v>5</v>
      </c>
      <c r="M695" t="str">
        <f>IF(Table1[[#This Row],[Age]]&lt;=18,"Teen",IF(Table1[[#This Row],[Age]]&lt;=21,"Young Adult","Adult"))</f>
        <v>Adult</v>
      </c>
      <c r="N695" t="str">
        <f t="shared" si="50"/>
        <v>High</v>
      </c>
      <c r="O695" t="str">
        <f t="shared" si="51"/>
        <v>Medium</v>
      </c>
      <c r="P695" t="str">
        <f t="shared" si="52"/>
        <v>Healthy</v>
      </c>
      <c r="Q695">
        <f t="shared" si="53"/>
        <v>0</v>
      </c>
      <c r="R695" t="str">
        <f t="shared" si="54"/>
        <v>Good</v>
      </c>
      <c r="S695">
        <f>COUNTIF('Students Social Media Addiction'!O:O,"High")/COUNTA(Table1[Student_ID])</f>
        <v>0.5787234042553191</v>
      </c>
      <c r="T695">
        <f>AVERAGE(Table1[Academic Impact Flag])</f>
        <v>0.64255319148936174</v>
      </c>
      <c r="U695">
        <f>AVERAGE(Table1[Sleep_Hours_Per_Night])</f>
        <v>6.868936170212768</v>
      </c>
      <c r="V695">
        <f>AVERAGE(Table1[Mental_Health_Score])</f>
        <v>6.2269503546099294</v>
      </c>
    </row>
    <row r="696" spans="1:22" x14ac:dyDescent="0.3">
      <c r="A696">
        <v>695</v>
      </c>
      <c r="B696">
        <v>20</v>
      </c>
      <c r="C696" t="s">
        <v>12</v>
      </c>
      <c r="D696" t="s">
        <v>13</v>
      </c>
      <c r="E696" t="s">
        <v>64</v>
      </c>
      <c r="F696">
        <v>6.6</v>
      </c>
      <c r="G696" t="s">
        <v>15</v>
      </c>
      <c r="H696" t="s">
        <v>16</v>
      </c>
      <c r="I696">
        <v>6.1</v>
      </c>
      <c r="J696">
        <v>5</v>
      </c>
      <c r="K696" t="s">
        <v>23</v>
      </c>
      <c r="L696">
        <v>8</v>
      </c>
      <c r="M696" t="str">
        <f>IF(Table1[[#This Row],[Age]]&lt;=18,"Teen",IF(Table1[[#This Row],[Age]]&lt;=21,"Young Adult","Adult"))</f>
        <v>Young Adult</v>
      </c>
      <c r="N696" t="str">
        <f t="shared" si="50"/>
        <v>Very High</v>
      </c>
      <c r="O696" t="str">
        <f t="shared" si="51"/>
        <v>High</v>
      </c>
      <c r="P696" t="str">
        <f t="shared" si="52"/>
        <v>Average</v>
      </c>
      <c r="Q696">
        <f t="shared" si="53"/>
        <v>1</v>
      </c>
      <c r="R696" t="str">
        <f t="shared" si="54"/>
        <v>Average</v>
      </c>
      <c r="S696">
        <f>COUNTIF('Students Social Media Addiction'!O:O,"High")/COUNTA(Table1[Student_ID])</f>
        <v>0.5787234042553191</v>
      </c>
      <c r="T696">
        <f>AVERAGE(Table1[Academic Impact Flag])</f>
        <v>0.64255319148936174</v>
      </c>
      <c r="U696">
        <f>AVERAGE(Table1[Sleep_Hours_Per_Night])</f>
        <v>6.868936170212768</v>
      </c>
      <c r="V696">
        <f>AVERAGE(Table1[Mental_Health_Score])</f>
        <v>6.2269503546099294</v>
      </c>
    </row>
    <row r="697" spans="1:22" x14ac:dyDescent="0.3">
      <c r="A697">
        <v>696</v>
      </c>
      <c r="B697">
        <v>23</v>
      </c>
      <c r="C697" t="s">
        <v>18</v>
      </c>
      <c r="D697" t="s">
        <v>19</v>
      </c>
      <c r="E697" t="s">
        <v>24</v>
      </c>
      <c r="F697">
        <v>5.5</v>
      </c>
      <c r="G697" t="s">
        <v>21</v>
      </c>
      <c r="H697" t="s">
        <v>16</v>
      </c>
      <c r="I697">
        <v>6.7</v>
      </c>
      <c r="J697">
        <v>6</v>
      </c>
      <c r="K697" t="s">
        <v>17</v>
      </c>
      <c r="L697">
        <v>7</v>
      </c>
      <c r="M697" t="str">
        <f>IF(Table1[[#This Row],[Age]]&lt;=18,"Teen",IF(Table1[[#This Row],[Age]]&lt;=21,"Young Adult","Adult"))</f>
        <v>Adult</v>
      </c>
      <c r="N697" t="str">
        <f t="shared" si="50"/>
        <v>High</v>
      </c>
      <c r="O697" t="str">
        <f t="shared" si="51"/>
        <v>High</v>
      </c>
      <c r="P697" t="str">
        <f t="shared" si="52"/>
        <v>Average</v>
      </c>
      <c r="Q697">
        <f t="shared" si="53"/>
        <v>1</v>
      </c>
      <c r="R697" t="str">
        <f t="shared" si="54"/>
        <v>Average</v>
      </c>
      <c r="S697">
        <f>COUNTIF('Students Social Media Addiction'!O:O,"High")/COUNTA(Table1[Student_ID])</f>
        <v>0.5787234042553191</v>
      </c>
      <c r="T697">
        <f>AVERAGE(Table1[Academic Impact Flag])</f>
        <v>0.64255319148936174</v>
      </c>
      <c r="U697">
        <f>AVERAGE(Table1[Sleep_Hours_Per_Night])</f>
        <v>6.868936170212768</v>
      </c>
      <c r="V697">
        <f>AVERAGE(Table1[Mental_Health_Score])</f>
        <v>6.2269503546099294</v>
      </c>
    </row>
    <row r="698" spans="1:22" x14ac:dyDescent="0.3">
      <c r="A698">
        <v>697</v>
      </c>
      <c r="B698">
        <v>21</v>
      </c>
      <c r="C698" t="s">
        <v>12</v>
      </c>
      <c r="D698" t="s">
        <v>13</v>
      </c>
      <c r="E698" t="s">
        <v>42</v>
      </c>
      <c r="F698">
        <v>6.3</v>
      </c>
      <c r="G698" t="s">
        <v>25</v>
      </c>
      <c r="H698" t="s">
        <v>16</v>
      </c>
      <c r="I698">
        <v>6.2</v>
      </c>
      <c r="J698">
        <v>5</v>
      </c>
      <c r="K698" t="s">
        <v>23</v>
      </c>
      <c r="L698">
        <v>8</v>
      </c>
      <c r="M698" t="str">
        <f>IF(Table1[[#This Row],[Age]]&lt;=18,"Teen",IF(Table1[[#This Row],[Age]]&lt;=21,"Young Adult","Adult"))</f>
        <v>Young Adult</v>
      </c>
      <c r="N698" t="str">
        <f t="shared" si="50"/>
        <v>Very High</v>
      </c>
      <c r="O698" t="str">
        <f t="shared" si="51"/>
        <v>High</v>
      </c>
      <c r="P698" t="str">
        <f t="shared" si="52"/>
        <v>Average</v>
      </c>
      <c r="Q698">
        <f t="shared" si="53"/>
        <v>1</v>
      </c>
      <c r="R698" t="str">
        <f t="shared" si="54"/>
        <v>Average</v>
      </c>
      <c r="S698">
        <f>COUNTIF('Students Social Media Addiction'!O:O,"High")/COUNTA(Table1[Student_ID])</f>
        <v>0.5787234042553191</v>
      </c>
      <c r="T698">
        <f>AVERAGE(Table1[Academic Impact Flag])</f>
        <v>0.64255319148936174</v>
      </c>
      <c r="U698">
        <f>AVERAGE(Table1[Sleep_Hours_Per_Night])</f>
        <v>6.868936170212768</v>
      </c>
      <c r="V698">
        <f>AVERAGE(Table1[Mental_Health_Score])</f>
        <v>6.2269503546099294</v>
      </c>
    </row>
    <row r="699" spans="1:22" x14ac:dyDescent="0.3">
      <c r="A699">
        <v>698</v>
      </c>
      <c r="B699">
        <v>24</v>
      </c>
      <c r="C699" t="s">
        <v>18</v>
      </c>
      <c r="D699" t="s">
        <v>19</v>
      </c>
      <c r="E699" t="s">
        <v>39</v>
      </c>
      <c r="F699">
        <v>4.8</v>
      </c>
      <c r="G699" t="s">
        <v>31</v>
      </c>
      <c r="H699" t="s">
        <v>22</v>
      </c>
      <c r="I699">
        <v>7.1</v>
      </c>
      <c r="J699">
        <v>7</v>
      </c>
      <c r="K699" t="s">
        <v>17</v>
      </c>
      <c r="L699">
        <v>5</v>
      </c>
      <c r="M699" t="str">
        <f>IF(Table1[[#This Row],[Age]]&lt;=18,"Teen",IF(Table1[[#This Row],[Age]]&lt;=21,"Young Adult","Adult"))</f>
        <v>Adult</v>
      </c>
      <c r="N699" t="str">
        <f t="shared" si="50"/>
        <v>High</v>
      </c>
      <c r="O699" t="str">
        <f t="shared" si="51"/>
        <v>Medium</v>
      </c>
      <c r="P699" t="str">
        <f t="shared" si="52"/>
        <v>Healthy</v>
      </c>
      <c r="Q699">
        <f t="shared" si="53"/>
        <v>0</v>
      </c>
      <c r="R699" t="str">
        <f t="shared" si="54"/>
        <v>Good</v>
      </c>
      <c r="S699">
        <f>COUNTIF('Students Social Media Addiction'!O:O,"High")/COUNTA(Table1[Student_ID])</f>
        <v>0.5787234042553191</v>
      </c>
      <c r="T699">
        <f>AVERAGE(Table1[Academic Impact Flag])</f>
        <v>0.64255319148936174</v>
      </c>
      <c r="U699">
        <f>AVERAGE(Table1[Sleep_Hours_Per_Night])</f>
        <v>6.868936170212768</v>
      </c>
      <c r="V699">
        <f>AVERAGE(Table1[Mental_Health_Score])</f>
        <v>6.2269503546099294</v>
      </c>
    </row>
    <row r="700" spans="1:22" x14ac:dyDescent="0.3">
      <c r="A700">
        <v>699</v>
      </c>
      <c r="B700">
        <v>19</v>
      </c>
      <c r="C700" t="s">
        <v>12</v>
      </c>
      <c r="D700" t="s">
        <v>13</v>
      </c>
      <c r="E700" t="s">
        <v>30</v>
      </c>
      <c r="F700">
        <v>5.7</v>
      </c>
      <c r="G700" t="s">
        <v>15</v>
      </c>
      <c r="H700" t="s">
        <v>16</v>
      </c>
      <c r="I700">
        <v>6.6</v>
      </c>
      <c r="J700">
        <v>6</v>
      </c>
      <c r="K700" t="s">
        <v>23</v>
      </c>
      <c r="L700">
        <v>7</v>
      </c>
      <c r="M700" t="str">
        <f>IF(Table1[[#This Row],[Age]]&lt;=18,"Teen",IF(Table1[[#This Row],[Age]]&lt;=21,"Young Adult","Adult"))</f>
        <v>Young Adult</v>
      </c>
      <c r="N700" t="str">
        <f t="shared" si="50"/>
        <v>High</v>
      </c>
      <c r="O700" t="str">
        <f t="shared" si="51"/>
        <v>High</v>
      </c>
      <c r="P700" t="str">
        <f t="shared" si="52"/>
        <v>Average</v>
      </c>
      <c r="Q700">
        <f t="shared" si="53"/>
        <v>1</v>
      </c>
      <c r="R700" t="str">
        <f t="shared" si="54"/>
        <v>Average</v>
      </c>
      <c r="S700">
        <f>COUNTIF('Students Social Media Addiction'!O:O,"High")/COUNTA(Table1[Student_ID])</f>
        <v>0.5787234042553191</v>
      </c>
      <c r="T700">
        <f>AVERAGE(Table1[Academic Impact Flag])</f>
        <v>0.64255319148936174</v>
      </c>
      <c r="U700">
        <f>AVERAGE(Table1[Sleep_Hours_Per_Night])</f>
        <v>6.868936170212768</v>
      </c>
      <c r="V700">
        <f>AVERAGE(Table1[Mental_Health_Score])</f>
        <v>6.2269503546099294</v>
      </c>
    </row>
    <row r="701" spans="1:22" x14ac:dyDescent="0.3">
      <c r="A701">
        <v>700</v>
      </c>
      <c r="B701">
        <v>22</v>
      </c>
      <c r="C701" t="s">
        <v>18</v>
      </c>
      <c r="D701" t="s">
        <v>19</v>
      </c>
      <c r="E701" t="s">
        <v>28</v>
      </c>
      <c r="F701">
        <v>6.2</v>
      </c>
      <c r="G701" t="s">
        <v>21</v>
      </c>
      <c r="H701" t="s">
        <v>16</v>
      </c>
      <c r="I701">
        <v>6.3</v>
      </c>
      <c r="J701">
        <v>5</v>
      </c>
      <c r="K701" t="s">
        <v>23</v>
      </c>
      <c r="L701">
        <v>8</v>
      </c>
      <c r="M701" t="str">
        <f>IF(Table1[[#This Row],[Age]]&lt;=18,"Teen",IF(Table1[[#This Row],[Age]]&lt;=21,"Young Adult","Adult"))</f>
        <v>Adult</v>
      </c>
      <c r="N701" t="str">
        <f t="shared" si="50"/>
        <v>Very High</v>
      </c>
      <c r="O701" t="str">
        <f t="shared" si="51"/>
        <v>High</v>
      </c>
      <c r="P701" t="str">
        <f t="shared" si="52"/>
        <v>Average</v>
      </c>
      <c r="Q701">
        <f t="shared" si="53"/>
        <v>1</v>
      </c>
      <c r="R701" t="str">
        <f t="shared" si="54"/>
        <v>Average</v>
      </c>
      <c r="S701">
        <f>COUNTIF('Students Social Media Addiction'!O:O,"High")/COUNTA(Table1[Student_ID])</f>
        <v>0.5787234042553191</v>
      </c>
      <c r="T701">
        <f>AVERAGE(Table1[Academic Impact Flag])</f>
        <v>0.64255319148936174</v>
      </c>
      <c r="U701">
        <f>AVERAGE(Table1[Sleep_Hours_Per_Night])</f>
        <v>6.868936170212768</v>
      </c>
      <c r="V701">
        <f>AVERAGE(Table1[Mental_Health_Score])</f>
        <v>6.2269503546099294</v>
      </c>
    </row>
    <row r="702" spans="1:22" x14ac:dyDescent="0.3">
      <c r="A702">
        <v>701</v>
      </c>
      <c r="B702">
        <v>20</v>
      </c>
      <c r="C702" t="s">
        <v>12</v>
      </c>
      <c r="D702" t="s">
        <v>13</v>
      </c>
      <c r="E702" t="s">
        <v>41</v>
      </c>
      <c r="F702">
        <v>4.7</v>
      </c>
      <c r="G702" t="s">
        <v>25</v>
      </c>
      <c r="H702" t="s">
        <v>22</v>
      </c>
      <c r="I702">
        <v>7.2</v>
      </c>
      <c r="J702">
        <v>7</v>
      </c>
      <c r="K702" t="s">
        <v>17</v>
      </c>
      <c r="L702">
        <v>5</v>
      </c>
      <c r="M702" t="str">
        <f>IF(Table1[[#This Row],[Age]]&lt;=18,"Teen",IF(Table1[[#This Row],[Age]]&lt;=21,"Young Adult","Adult"))</f>
        <v>Young Adult</v>
      </c>
      <c r="N702" t="str">
        <f t="shared" si="50"/>
        <v>High</v>
      </c>
      <c r="O702" t="str">
        <f t="shared" si="51"/>
        <v>Medium</v>
      </c>
      <c r="P702" t="str">
        <f t="shared" si="52"/>
        <v>Healthy</v>
      </c>
      <c r="Q702">
        <f t="shared" si="53"/>
        <v>0</v>
      </c>
      <c r="R702" t="str">
        <f t="shared" si="54"/>
        <v>Good</v>
      </c>
      <c r="S702">
        <f>COUNTIF('Students Social Media Addiction'!O:O,"High")/COUNTA(Table1[Student_ID])</f>
        <v>0.5787234042553191</v>
      </c>
      <c r="T702">
        <f>AVERAGE(Table1[Academic Impact Flag])</f>
        <v>0.64255319148936174</v>
      </c>
      <c r="U702">
        <f>AVERAGE(Table1[Sleep_Hours_Per_Night])</f>
        <v>6.868936170212768</v>
      </c>
      <c r="V702">
        <f>AVERAGE(Table1[Mental_Health_Score])</f>
        <v>6.2269503546099294</v>
      </c>
    </row>
    <row r="703" spans="1:22" x14ac:dyDescent="0.3">
      <c r="A703">
        <v>702</v>
      </c>
      <c r="B703">
        <v>23</v>
      </c>
      <c r="C703" t="s">
        <v>18</v>
      </c>
      <c r="D703" t="s">
        <v>19</v>
      </c>
      <c r="E703" t="s">
        <v>43</v>
      </c>
      <c r="F703">
        <v>6.8</v>
      </c>
      <c r="G703" t="s">
        <v>15</v>
      </c>
      <c r="H703" t="s">
        <v>16</v>
      </c>
      <c r="I703">
        <v>5.9</v>
      </c>
      <c r="J703">
        <v>4</v>
      </c>
      <c r="K703" t="s">
        <v>23</v>
      </c>
      <c r="L703">
        <v>9</v>
      </c>
      <c r="M703" t="str">
        <f>IF(Table1[[#This Row],[Age]]&lt;=18,"Teen",IF(Table1[[#This Row],[Age]]&lt;=21,"Young Adult","Adult"))</f>
        <v>Adult</v>
      </c>
      <c r="N703" t="str">
        <f t="shared" si="50"/>
        <v>Very High</v>
      </c>
      <c r="O703" t="str">
        <f t="shared" si="51"/>
        <v>High</v>
      </c>
      <c r="P703" t="str">
        <f t="shared" si="52"/>
        <v>Poor</v>
      </c>
      <c r="Q703">
        <f t="shared" si="53"/>
        <v>1</v>
      </c>
      <c r="R703" t="str">
        <f t="shared" si="54"/>
        <v>Poor</v>
      </c>
      <c r="S703">
        <f>COUNTIF('Students Social Media Addiction'!O:O,"High")/COUNTA(Table1[Student_ID])</f>
        <v>0.5787234042553191</v>
      </c>
      <c r="T703">
        <f>AVERAGE(Table1[Academic Impact Flag])</f>
        <v>0.64255319148936174</v>
      </c>
      <c r="U703">
        <f>AVERAGE(Table1[Sleep_Hours_Per_Night])</f>
        <v>6.868936170212768</v>
      </c>
      <c r="V703">
        <f>AVERAGE(Table1[Mental_Health_Score])</f>
        <v>6.2269503546099294</v>
      </c>
    </row>
    <row r="704" spans="1:22" x14ac:dyDescent="0.3">
      <c r="A704">
        <v>703</v>
      </c>
      <c r="B704">
        <v>21</v>
      </c>
      <c r="C704" t="s">
        <v>12</v>
      </c>
      <c r="D704" t="s">
        <v>13</v>
      </c>
      <c r="E704" t="s">
        <v>44</v>
      </c>
      <c r="F704">
        <v>5.6</v>
      </c>
      <c r="G704" t="s">
        <v>143</v>
      </c>
      <c r="H704" t="s">
        <v>16</v>
      </c>
      <c r="I704">
        <v>6.7</v>
      </c>
      <c r="J704">
        <v>6</v>
      </c>
      <c r="K704" t="s">
        <v>17</v>
      </c>
      <c r="L704">
        <v>7</v>
      </c>
      <c r="M704" t="str">
        <f>IF(Table1[[#This Row],[Age]]&lt;=18,"Teen",IF(Table1[[#This Row],[Age]]&lt;=21,"Young Adult","Adult"))</f>
        <v>Young Adult</v>
      </c>
      <c r="N704" t="str">
        <f t="shared" si="50"/>
        <v>High</v>
      </c>
      <c r="O704" t="str">
        <f t="shared" si="51"/>
        <v>High</v>
      </c>
      <c r="P704" t="str">
        <f t="shared" si="52"/>
        <v>Average</v>
      </c>
      <c r="Q704">
        <f t="shared" si="53"/>
        <v>1</v>
      </c>
      <c r="R704" t="str">
        <f t="shared" si="54"/>
        <v>Average</v>
      </c>
      <c r="S704">
        <f>COUNTIF('Students Social Media Addiction'!O:O,"High")/COUNTA(Table1[Student_ID])</f>
        <v>0.5787234042553191</v>
      </c>
      <c r="T704">
        <f>AVERAGE(Table1[Academic Impact Flag])</f>
        <v>0.64255319148936174</v>
      </c>
      <c r="U704">
        <f>AVERAGE(Table1[Sleep_Hours_Per_Night])</f>
        <v>6.868936170212768</v>
      </c>
      <c r="V704">
        <f>AVERAGE(Table1[Mental_Health_Score])</f>
        <v>6.2269503546099294</v>
      </c>
    </row>
    <row r="705" spans="1:22" x14ac:dyDescent="0.3">
      <c r="A705">
        <v>704</v>
      </c>
      <c r="B705">
        <v>24</v>
      </c>
      <c r="C705" t="s">
        <v>18</v>
      </c>
      <c r="D705" t="s">
        <v>19</v>
      </c>
      <c r="E705" t="s">
        <v>37</v>
      </c>
      <c r="F705">
        <v>4.3</v>
      </c>
      <c r="G705" t="s">
        <v>21</v>
      </c>
      <c r="H705" t="s">
        <v>22</v>
      </c>
      <c r="I705">
        <v>7.5</v>
      </c>
      <c r="J705">
        <v>8</v>
      </c>
      <c r="K705" t="s">
        <v>23</v>
      </c>
      <c r="L705">
        <v>4</v>
      </c>
      <c r="M705" t="str">
        <f>IF(Table1[[#This Row],[Age]]&lt;=18,"Teen",IF(Table1[[#This Row],[Age]]&lt;=21,"Young Adult","Adult"))</f>
        <v>Adult</v>
      </c>
      <c r="N705" t="str">
        <f t="shared" si="50"/>
        <v>High</v>
      </c>
      <c r="O705" t="str">
        <f t="shared" si="51"/>
        <v>Medium</v>
      </c>
      <c r="P705" t="str">
        <f t="shared" si="52"/>
        <v>Healthy</v>
      </c>
      <c r="Q705">
        <f t="shared" si="53"/>
        <v>0</v>
      </c>
      <c r="R705" t="str">
        <f t="shared" si="54"/>
        <v>Good</v>
      </c>
      <c r="S705">
        <f>COUNTIF('Students Social Media Addiction'!O:O,"High")/COUNTA(Table1[Student_ID])</f>
        <v>0.5787234042553191</v>
      </c>
      <c r="T705">
        <f>AVERAGE(Table1[Academic Impact Flag])</f>
        <v>0.64255319148936174</v>
      </c>
      <c r="U705">
        <f>AVERAGE(Table1[Sleep_Hours_Per_Night])</f>
        <v>6.868936170212768</v>
      </c>
      <c r="V705">
        <f>AVERAGE(Table1[Mental_Health_Score])</f>
        <v>6.2269503546099294</v>
      </c>
    </row>
    <row r="706" spans="1:22" x14ac:dyDescent="0.3">
      <c r="A706">
        <v>705</v>
      </c>
      <c r="B706">
        <v>19</v>
      </c>
      <c r="C706" t="s">
        <v>12</v>
      </c>
      <c r="D706" t="s">
        <v>13</v>
      </c>
      <c r="E706" t="s">
        <v>89</v>
      </c>
      <c r="F706">
        <v>6.2</v>
      </c>
      <c r="G706" t="s">
        <v>31</v>
      </c>
      <c r="H706" t="s">
        <v>16</v>
      </c>
      <c r="I706">
        <v>6.3</v>
      </c>
      <c r="J706">
        <v>5</v>
      </c>
      <c r="K706" t="s">
        <v>23</v>
      </c>
      <c r="L706">
        <v>8</v>
      </c>
      <c r="M706" t="str">
        <f>IF(Table1[[#This Row],[Age]]&lt;=18,"Teen",IF(Table1[[#This Row],[Age]]&lt;=21,"Young Adult","Adult"))</f>
        <v>Young Adult</v>
      </c>
      <c r="N706" t="str">
        <f t="shared" si="50"/>
        <v>Very High</v>
      </c>
      <c r="O706" t="str">
        <f t="shared" si="51"/>
        <v>High</v>
      </c>
      <c r="P706" t="str">
        <f t="shared" si="52"/>
        <v>Average</v>
      </c>
      <c r="Q706">
        <f t="shared" si="53"/>
        <v>1</v>
      </c>
      <c r="R706" t="str">
        <f t="shared" si="54"/>
        <v>Average</v>
      </c>
      <c r="S706">
        <f>COUNTIF('Students Social Media Addiction'!O:O,"High")/COUNTA(Table1[Student_ID])</f>
        <v>0.5787234042553191</v>
      </c>
      <c r="T706">
        <f>AVERAGE(Table1[Academic Impact Flag])</f>
        <v>0.64255319148936174</v>
      </c>
      <c r="U706">
        <f>AVERAGE(Table1[Sleep_Hours_Per_Night])</f>
        <v>6.868936170212768</v>
      </c>
      <c r="V706">
        <f>AVERAGE(Table1[Mental_Health_Score])</f>
        <v>6.2269503546099294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1F32-BFA6-4E3B-A62E-AE2A5531664F}">
  <dimension ref="A1:W32"/>
  <sheetViews>
    <sheetView zoomScale="70" zoomScaleNormal="70" workbookViewId="0">
      <selection activeCell="C4" sqref="C4"/>
    </sheetView>
  </sheetViews>
  <sheetFormatPr defaultRowHeight="14.4" x14ac:dyDescent="0.3"/>
  <cols>
    <col min="1" max="1" width="13.88671875" bestFit="1" customWidth="1"/>
    <col min="2" max="2" width="18.33203125" bestFit="1" customWidth="1"/>
    <col min="3" max="3" width="30.88671875" bestFit="1" customWidth="1"/>
    <col min="4" max="4" width="24.109375" bestFit="1" customWidth="1"/>
    <col min="5" max="5" width="13.88671875" bestFit="1" customWidth="1"/>
    <col min="6" max="6" width="24.109375" bestFit="1" customWidth="1"/>
    <col min="7" max="7" width="24.6640625" bestFit="1" customWidth="1"/>
    <col min="8" max="8" width="31.6640625" bestFit="1" customWidth="1"/>
    <col min="9" max="9" width="13.88671875" bestFit="1" customWidth="1"/>
    <col min="10" max="10" width="18.33203125" bestFit="1" customWidth="1"/>
    <col min="11" max="11" width="24.109375" bestFit="1" customWidth="1"/>
    <col min="14" max="14" width="13.88671875" bestFit="1" customWidth="1"/>
    <col min="15" max="15" width="30.77734375" bestFit="1" customWidth="1"/>
    <col min="18" max="18" width="13.88671875" bestFit="1" customWidth="1"/>
    <col min="19" max="19" width="29.109375" bestFit="1" customWidth="1"/>
    <col min="22" max="22" width="13.88671875" bestFit="1" customWidth="1"/>
    <col min="23" max="23" width="24.109375" bestFit="1" customWidth="1"/>
  </cols>
  <sheetData>
    <row r="1" spans="1:23" x14ac:dyDescent="0.3">
      <c r="A1" s="9"/>
    </row>
    <row r="3" spans="1:23" x14ac:dyDescent="0.3">
      <c r="E3" s="8"/>
    </row>
    <row r="4" spans="1:23" x14ac:dyDescent="0.3">
      <c r="B4" s="7" t="s">
        <v>170</v>
      </c>
      <c r="C4" s="7" t="s">
        <v>171</v>
      </c>
      <c r="D4" s="7" t="s">
        <v>156</v>
      </c>
      <c r="E4" s="7" t="s">
        <v>186</v>
      </c>
      <c r="F4" s="7" t="s">
        <v>187</v>
      </c>
      <c r="G4" s="7" t="s">
        <v>188</v>
      </c>
      <c r="H4" s="7" t="s">
        <v>189</v>
      </c>
    </row>
    <row r="5" spans="1:23" x14ac:dyDescent="0.3">
      <c r="B5" s="14">
        <v>705</v>
      </c>
      <c r="C5" s="14">
        <v>4.9187234042553172</v>
      </c>
      <c r="D5" s="14">
        <v>6.4368794326241137</v>
      </c>
      <c r="E5" s="14">
        <v>0.5787234042553191</v>
      </c>
      <c r="F5" s="14">
        <v>0.64255319148936174</v>
      </c>
      <c r="G5" s="14">
        <v>6.868936170212768</v>
      </c>
      <c r="H5" s="14">
        <v>6.2269503546099294</v>
      </c>
    </row>
    <row r="7" spans="1:23" x14ac:dyDescent="0.3">
      <c r="B7">
        <f t="shared" ref="B7:H7" si="0">B5</f>
        <v>705</v>
      </c>
      <c r="C7" s="12">
        <f t="shared" si="0"/>
        <v>4.9187234042553172</v>
      </c>
      <c r="D7" s="12">
        <f t="shared" si="0"/>
        <v>6.4368794326241137</v>
      </c>
      <c r="E7" s="12">
        <f t="shared" si="0"/>
        <v>0.5787234042553191</v>
      </c>
      <c r="F7" s="12">
        <f t="shared" si="0"/>
        <v>0.64255319148936174</v>
      </c>
      <c r="G7" s="12">
        <f t="shared" si="0"/>
        <v>6.868936170212768</v>
      </c>
      <c r="H7" s="12">
        <f t="shared" si="0"/>
        <v>6.2269503546099294</v>
      </c>
    </row>
    <row r="13" spans="1:23" x14ac:dyDescent="0.3">
      <c r="A13" s="4" t="s">
        <v>155</v>
      </c>
      <c r="B13" s="4"/>
      <c r="E13" s="4" t="s">
        <v>158</v>
      </c>
      <c r="F13" s="4"/>
      <c r="I13" s="4" t="s">
        <v>160</v>
      </c>
      <c r="J13" s="4"/>
      <c r="K13" s="4"/>
      <c r="N13" s="4" t="s">
        <v>165</v>
      </c>
      <c r="O13" s="4"/>
      <c r="R13" s="4" t="s">
        <v>167</v>
      </c>
      <c r="S13" s="4"/>
      <c r="V13" s="4" t="s">
        <v>169</v>
      </c>
      <c r="W13" s="4"/>
    </row>
    <row r="14" spans="1:23" x14ac:dyDescent="0.3">
      <c r="A14" s="6" t="s">
        <v>185</v>
      </c>
      <c r="B14" s="6"/>
      <c r="E14" s="6" t="s">
        <v>157</v>
      </c>
      <c r="F14" s="5"/>
      <c r="I14" s="6" t="s">
        <v>159</v>
      </c>
      <c r="J14" s="5"/>
      <c r="K14" s="5"/>
      <c r="N14" s="6" t="s">
        <v>164</v>
      </c>
      <c r="O14" s="6"/>
      <c r="R14" s="6" t="s">
        <v>190</v>
      </c>
      <c r="S14" s="6"/>
      <c r="V14" s="6" t="s">
        <v>168</v>
      </c>
      <c r="W14" s="6"/>
    </row>
    <row r="15" spans="1:23" x14ac:dyDescent="0.3">
      <c r="A15" s="2" t="s">
        <v>150</v>
      </c>
      <c r="B15" t="s">
        <v>170</v>
      </c>
      <c r="E15" s="2" t="s">
        <v>150</v>
      </c>
      <c r="F15" t="s">
        <v>156</v>
      </c>
      <c r="I15" s="2" t="s">
        <v>150</v>
      </c>
      <c r="J15" t="s">
        <v>170</v>
      </c>
      <c r="K15" t="s">
        <v>156</v>
      </c>
      <c r="N15" s="2" t="s">
        <v>150</v>
      </c>
      <c r="O15" t="s">
        <v>163</v>
      </c>
      <c r="R15" s="2" t="s">
        <v>150</v>
      </c>
      <c r="S15" t="s">
        <v>166</v>
      </c>
      <c r="V15" s="2" t="s">
        <v>150</v>
      </c>
      <c r="W15" t="s">
        <v>156</v>
      </c>
    </row>
    <row r="16" spans="1:23" x14ac:dyDescent="0.3">
      <c r="A16" s="3" t="s">
        <v>151</v>
      </c>
      <c r="B16" s="14">
        <v>408</v>
      </c>
      <c r="E16" s="3" t="s">
        <v>142</v>
      </c>
      <c r="F16" s="14">
        <v>7.4629629629629628</v>
      </c>
      <c r="I16" s="3" t="s">
        <v>16</v>
      </c>
      <c r="J16" s="14">
        <v>453</v>
      </c>
      <c r="K16" s="14">
        <v>7.4613686534216335</v>
      </c>
      <c r="N16" s="3" t="s">
        <v>161</v>
      </c>
      <c r="O16" s="14">
        <v>8.0620915032679736</v>
      </c>
      <c r="R16" s="3" t="s">
        <v>19</v>
      </c>
      <c r="S16" s="14">
        <v>6.3723076923076922</v>
      </c>
      <c r="V16" s="3" t="s">
        <v>19</v>
      </c>
      <c r="W16" s="14">
        <v>6.2430769230769227</v>
      </c>
    </row>
    <row r="17" spans="1:23" x14ac:dyDescent="0.3">
      <c r="A17" s="3" t="s">
        <v>152</v>
      </c>
      <c r="B17" s="14">
        <v>17</v>
      </c>
      <c r="E17" s="3" t="s">
        <v>36</v>
      </c>
      <c r="F17" s="14">
        <v>7.4615384615384617</v>
      </c>
      <c r="I17" s="3" t="s">
        <v>22</v>
      </c>
      <c r="J17" s="14">
        <v>252</v>
      </c>
      <c r="K17" s="14">
        <v>4.5952380952380949</v>
      </c>
      <c r="N17" s="3" t="s">
        <v>152</v>
      </c>
      <c r="O17" s="14">
        <v>8</v>
      </c>
      <c r="R17" s="3" t="s">
        <v>27</v>
      </c>
      <c r="S17" s="14">
        <v>5.1111111111111107</v>
      </c>
      <c r="V17" s="3" t="s">
        <v>27</v>
      </c>
      <c r="W17" s="14">
        <v>8.0370370370370363</v>
      </c>
    </row>
    <row r="18" spans="1:23" x14ac:dyDescent="0.3">
      <c r="A18" s="3" t="s">
        <v>153</v>
      </c>
      <c r="B18" s="14">
        <v>280</v>
      </c>
      <c r="E18" s="3" t="s">
        <v>25</v>
      </c>
      <c r="F18" s="14">
        <v>7.4285714285714288</v>
      </c>
      <c r="I18" s="3" t="s">
        <v>154</v>
      </c>
      <c r="J18" s="14">
        <v>705</v>
      </c>
      <c r="K18" s="14">
        <v>6.4368794326241137</v>
      </c>
      <c r="N18" s="3" t="s">
        <v>151</v>
      </c>
      <c r="O18" s="14">
        <v>6.8568578553615973</v>
      </c>
      <c r="R18" s="3" t="s">
        <v>13</v>
      </c>
      <c r="S18" s="14">
        <v>6.1784702549575075</v>
      </c>
      <c r="V18" s="3" t="s">
        <v>13</v>
      </c>
      <c r="W18" s="14">
        <v>6.4929178470254953</v>
      </c>
    </row>
    <row r="19" spans="1:23" x14ac:dyDescent="0.3">
      <c r="A19" s="3" t="s">
        <v>154</v>
      </c>
      <c r="B19" s="14">
        <v>705</v>
      </c>
      <c r="E19" s="3" t="s">
        <v>15</v>
      </c>
      <c r="F19" s="14">
        <v>6.5542168674698793</v>
      </c>
      <c r="N19" s="3" t="s">
        <v>162</v>
      </c>
      <c r="O19" s="14">
        <v>5.6766666666666659</v>
      </c>
      <c r="R19" s="3" t="s">
        <v>154</v>
      </c>
      <c r="S19" s="14">
        <v>6.2269503546099294</v>
      </c>
      <c r="V19" s="3" t="s">
        <v>154</v>
      </c>
      <c r="W19" s="14">
        <v>6.4368794326241137</v>
      </c>
    </row>
    <row r="20" spans="1:23" x14ac:dyDescent="0.3">
      <c r="E20" s="3" t="s">
        <v>29</v>
      </c>
      <c r="F20" s="14">
        <v>6.1</v>
      </c>
      <c r="N20" s="3" t="s">
        <v>154</v>
      </c>
      <c r="O20" s="14">
        <v>6.8689361702127609</v>
      </c>
    </row>
    <row r="21" spans="1:23" x14ac:dyDescent="0.3">
      <c r="E21" s="3" t="s">
        <v>143</v>
      </c>
      <c r="F21" s="14">
        <v>6.0666666666666664</v>
      </c>
    </row>
    <row r="22" spans="1:23" x14ac:dyDescent="0.3">
      <c r="E22" s="3" t="s">
        <v>140</v>
      </c>
      <c r="F22" s="14">
        <v>6</v>
      </c>
    </row>
    <row r="23" spans="1:23" x14ac:dyDescent="0.3">
      <c r="E23" s="3" t="s">
        <v>31</v>
      </c>
      <c r="F23" s="14">
        <v>5.666666666666667</v>
      </c>
    </row>
    <row r="24" spans="1:23" x14ac:dyDescent="0.3">
      <c r="E24" s="3" t="s">
        <v>21</v>
      </c>
      <c r="F24" s="14">
        <v>5.5</v>
      </c>
    </row>
    <row r="25" spans="1:23" x14ac:dyDescent="0.3">
      <c r="E25" s="3" t="s">
        <v>141</v>
      </c>
      <c r="F25" s="14">
        <v>5</v>
      </c>
    </row>
    <row r="26" spans="1:23" x14ac:dyDescent="0.3">
      <c r="E26" s="3" t="s">
        <v>34</v>
      </c>
      <c r="F26" s="14">
        <v>3.8095238095238093</v>
      </c>
    </row>
    <row r="27" spans="1:23" x14ac:dyDescent="0.3">
      <c r="E27" s="3" t="s">
        <v>139</v>
      </c>
      <c r="F27" s="14">
        <v>3</v>
      </c>
    </row>
    <row r="28" spans="1:23" x14ac:dyDescent="0.3">
      <c r="E28" s="3" t="s">
        <v>154</v>
      </c>
      <c r="F28" s="14">
        <v>6.4368794326241137</v>
      </c>
    </row>
    <row r="31" spans="1:23" x14ac:dyDescent="0.3">
      <c r="A31" s="11" t="s">
        <v>176</v>
      </c>
      <c r="E31" s="11" t="s">
        <v>176</v>
      </c>
      <c r="I31" s="11" t="s">
        <v>180</v>
      </c>
      <c r="N31" s="11" t="s">
        <v>179</v>
      </c>
      <c r="R31" s="11" t="s">
        <v>179</v>
      </c>
      <c r="V31" s="11" t="s">
        <v>176</v>
      </c>
    </row>
    <row r="32" spans="1:23" ht="57.6" x14ac:dyDescent="0.3">
      <c r="A32" s="10" t="s">
        <v>178</v>
      </c>
      <c r="B32" s="10"/>
      <c r="E32" s="10" t="s">
        <v>177</v>
      </c>
      <c r="F32" s="10"/>
      <c r="I32" s="10" t="s">
        <v>181</v>
      </c>
      <c r="J32" s="4"/>
      <c r="K32" s="4"/>
      <c r="N32" s="10" t="s">
        <v>182</v>
      </c>
      <c r="O32" s="10"/>
      <c r="R32" s="10" t="s">
        <v>183</v>
      </c>
      <c r="S32" s="10"/>
      <c r="V32" s="10" t="s">
        <v>184</v>
      </c>
      <c r="W32" s="10"/>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B824-E253-4363-A876-E59C9461A895}">
  <dimension ref="A1"/>
  <sheetViews>
    <sheetView tabSelected="1" zoomScale="70" zoomScaleNormal="70" workbookViewId="0">
      <selection activeCell="AG9" sqref="AG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 Social Media Addiction</vt:lpstr>
      <vt:lpstr>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Rangari</dc:creator>
  <cp:lastModifiedBy>Dipanshu Rangari</cp:lastModifiedBy>
  <dcterms:created xsi:type="dcterms:W3CDTF">2026-01-28T07:30:38Z</dcterms:created>
  <dcterms:modified xsi:type="dcterms:W3CDTF">2026-01-29T03:58:08Z</dcterms:modified>
</cp:coreProperties>
</file>